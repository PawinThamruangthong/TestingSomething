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180" tabRatio="678" activeTab="10"/>
  </bookViews>
  <sheets>
    <sheet name="Version" sheetId="10" r:id="rId1"/>
    <sheet name="Todo List" sheetId="23" r:id="rId2"/>
    <sheet name="Defect" sheetId="20" r:id="rId3"/>
    <sheet name="RTM" sheetId="13" r:id="rId4"/>
    <sheet name="Scenario" sheetId="1" r:id="rId5"/>
    <sheet name="UserAccountAccess&amp;Validation" sheetId="5" r:id="rId6"/>
    <sheet name="Search" sheetId="12" r:id="rId7"/>
    <sheet name="Product Comparison" sheetId="14" r:id="rId8"/>
    <sheet name="HomePage" sheetId="3" r:id="rId9"/>
    <sheet name="Top Menu" sheetId="6" r:id="rId10"/>
    <sheet name="Header" sheetId="4" r:id="rId11"/>
    <sheet name="Footer" sheetId="7" r:id="rId12"/>
    <sheet name="Product Pages" sheetId="8" r:id="rId13"/>
    <sheet name="Shopping Cart page" sheetId="11" r:id="rId14"/>
    <sheet name="AddToCart" sheetId="15" r:id="rId15"/>
    <sheet name="WishList" sheetId="16" r:id="rId16"/>
    <sheet name="Currency" sheetId="2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DCD6BF44FE934B62BEF4AF54A6DF501A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515350" y="1114425"/>
          <a:ext cx="9761220" cy="395605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<sst xmlns="http://schemas.openxmlformats.org/spreadsheetml/2006/main" count="1200" uniqueCount="801">
  <si>
    <t>Version</t>
  </si>
  <si>
    <t>Detail</t>
  </si>
  <si>
    <t>start date</t>
  </si>
  <si>
    <t>Create test scenario &amp; test case based from FRS only.</t>
  </si>
  <si>
    <t>Update test scenario &amp; test case based from demo</t>
  </si>
  <si>
    <t>TestCase</t>
  </si>
  <si>
    <t>UserAccountAccess&amp;Validation</t>
  </si>
  <si>
    <t>Only Add TC title need to complete the rest</t>
  </si>
  <si>
    <t>Search</t>
  </si>
  <si>
    <t>Product Comparison</t>
  </si>
  <si>
    <t>AddToCart</t>
  </si>
  <si>
    <t>WishList</t>
  </si>
  <si>
    <t>Defect</t>
  </si>
  <si>
    <t>Need formatting</t>
  </si>
  <si>
    <t>Need to add details,picture reference on defect</t>
  </si>
  <si>
    <t>Defect ID</t>
  </si>
  <si>
    <t>Detected Date</t>
  </si>
  <si>
    <t>Description/Summary</t>
  </si>
  <si>
    <t>Step to Reproduce</t>
  </si>
  <si>
    <t>Expected Result</t>
  </si>
  <si>
    <t>Actual Result</t>
  </si>
  <si>
    <t>Severity</t>
  </si>
  <si>
    <t>Priority</t>
  </si>
  <si>
    <t>Screenshot</t>
  </si>
  <si>
    <t>Def-001</t>
  </si>
  <si>
    <t>frequently 522 response</t>
  </si>
  <si>
    <t>1. open application URL</t>
  </si>
  <si>
    <t>User enter homepage</t>
  </si>
  <si>
    <t>522 error</t>
  </si>
  <si>
    <t>Critical</t>
  </si>
  <si>
    <t>P0 (High)</t>
  </si>
  <si>
    <t>Def-002</t>
  </si>
  <si>
    <t>All product is out of stock</t>
  </si>
  <si>
    <t xml:space="preserve">1. open application URL
2. add product to cart
3. proceed to checkout
4. set quantity to 1 or more
5. click checkout
</t>
  </si>
  <si>
    <t>proceed to checkout page</t>
  </si>
  <si>
    <t>no single item available to proceed</t>
  </si>
  <si>
    <t>low</t>
  </si>
  <si>
    <t>Def-003</t>
  </si>
  <si>
    <t>Need letter limitation</t>
  </si>
  <si>
    <t>1. open application URL
2. Input long text to search tab
3. click search</t>
  </si>
  <si>
    <t>should not accept long input which can cause stress to server</t>
  </si>
  <si>
    <t>Always accept user input and conduct searches, but occasionally limit the search function for a set period.</t>
  </si>
  <si>
    <t>Module</t>
  </si>
  <si>
    <t>TS</t>
  </si>
  <si>
    <t>Open Cart Frontend</t>
  </si>
  <si>
    <t>URL</t>
  </si>
  <si>
    <t>https://demo.opencart.com/</t>
  </si>
  <si>
    <t>Requirement</t>
  </si>
  <si>
    <t>https://drive.google.com/drive/folders/1nBs25k9jTb06qrV-5fTC75gtPOR6uW4V</t>
  </si>
  <si>
    <t>* 1.0 create test scenario/test case only from FRS only</t>
  </si>
  <si>
    <t>Status :</t>
  </si>
  <si>
    <t>working</t>
  </si>
  <si>
    <t>complete</t>
  </si>
  <si>
    <t>Test Scenario ID</t>
  </si>
  <si>
    <t>Reference</t>
  </si>
  <si>
    <t>Test Scenario Description</t>
  </si>
  <si>
    <t>Number of Test Cases</t>
  </si>
  <si>
    <t>defect</t>
  </si>
  <si>
    <t>Note</t>
  </si>
  <si>
    <t>TS001</t>
  </si>
  <si>
    <t>-</t>
  </si>
  <si>
    <t>Validate the working of 'Register an account' functionality</t>
  </si>
  <si>
    <t>P0</t>
  </si>
  <si>
    <t>TS002</t>
  </si>
  <si>
    <t>Validate the working of 'Login' functionality</t>
  </si>
  <si>
    <t>TS003</t>
  </si>
  <si>
    <t>Validate the working of 'Logout' functionality</t>
  </si>
  <si>
    <t>TS004</t>
  </si>
  <si>
    <t>Validate the working of 'Forgot Password' functionality</t>
  </si>
  <si>
    <t>P2</t>
  </si>
  <si>
    <t>TS005</t>
  </si>
  <si>
    <t>FRS</t>
  </si>
  <si>
    <t>Validate the working of 'Search' functionality</t>
  </si>
  <si>
    <t>P1</t>
  </si>
  <si>
    <t>TS006</t>
  </si>
  <si>
    <t>Validate the working of 'Product compare' functionality</t>
  </si>
  <si>
    <t>TS007</t>
  </si>
  <si>
    <t>Validate the working of 'Product page' functionality</t>
  </si>
  <si>
    <t>TS008</t>
  </si>
  <si>
    <t>Validate the working of 'Add to cart' functionality</t>
  </si>
  <si>
    <t>TS009</t>
  </si>
  <si>
    <t>Validate the working of 'Wish List' option</t>
  </si>
  <si>
    <t>P4</t>
  </si>
  <si>
    <t>TS010</t>
  </si>
  <si>
    <t>Validate the working of 'Shopping Cart page' functionality</t>
  </si>
  <si>
    <t>TS011</t>
  </si>
  <si>
    <t>Validate the working of 'Home page' functionality</t>
  </si>
  <si>
    <t>TS012</t>
  </si>
  <si>
    <t>Validate the working of 'Checkout' functionality</t>
  </si>
  <si>
    <t>Blocked</t>
  </si>
  <si>
    <t>TS013</t>
  </si>
  <si>
    <t>Validate the working of 'My Account' functionality</t>
  </si>
  <si>
    <t>P3</t>
  </si>
  <si>
    <t>TS014</t>
  </si>
  <si>
    <t>Validate the working of 'My Account &gt; Account Information' functionality</t>
  </si>
  <si>
    <t>TS015</t>
  </si>
  <si>
    <t>Validate the working of 'My Account &gt; Change Password' functionality</t>
  </si>
  <si>
    <t>TS016</t>
  </si>
  <si>
    <t>Validate the working of 'My Account Address Book' functionality</t>
  </si>
  <si>
    <t>TS017</t>
  </si>
  <si>
    <t>Validate the working of 'My Order &gt; Order History' functionality</t>
  </si>
  <si>
    <t>TS018</t>
  </si>
  <si>
    <t>Validate the working of 'My Orders &gt; Order Information' functionality</t>
  </si>
  <si>
    <t>TS019</t>
  </si>
  <si>
    <t>Validate the working of 'My Orders &gt; Product Returns' functionality</t>
  </si>
  <si>
    <t>TS020</t>
  </si>
  <si>
    <t>Validate the working of 'My Order &gt; Downloads' functionality</t>
  </si>
  <si>
    <t>TS021</t>
  </si>
  <si>
    <t>Validate the working of 'My Orders &gt; Reward Points' functionality</t>
  </si>
  <si>
    <t>TS022</t>
  </si>
  <si>
    <t>Validate the working of 'My Orders &gt; Returned Request' functionality</t>
  </si>
  <si>
    <t>TS023</t>
  </si>
  <si>
    <t>Validate the working of 'My Order &gt; Your Transactions' functionality</t>
  </si>
  <si>
    <t>TS024</t>
  </si>
  <si>
    <t>Validate the working of 'My Order &gt; Recurring Payments' functionality</t>
  </si>
  <si>
    <t>TS025</t>
  </si>
  <si>
    <t>Validate the working of 'Affiliate' functionality</t>
  </si>
  <si>
    <t>TS026</t>
  </si>
  <si>
    <t>Validate the working of 'Newsletter' functionality</t>
  </si>
  <si>
    <t>TS027</t>
  </si>
  <si>
    <t>Validate the working of 'Contact Us' functionality</t>
  </si>
  <si>
    <t>TS028</t>
  </si>
  <si>
    <t>Validate the working of 'Gift' functionality</t>
  </si>
  <si>
    <t>TS029</t>
  </si>
  <si>
    <t>Validate the working of 'Special Offer' functionality</t>
  </si>
  <si>
    <t>TS030</t>
  </si>
  <si>
    <t>Validate the working of 'Header' options' functionality</t>
  </si>
  <si>
    <t>TS031</t>
  </si>
  <si>
    <t>Validate the working of 'Top Menu' options' functionality</t>
  </si>
  <si>
    <t>TS032</t>
  </si>
  <si>
    <t>Validate the working of 'Footer' options' functionality</t>
  </si>
  <si>
    <t>TS033</t>
  </si>
  <si>
    <t>Validate the Application functionality for different currency' functionality</t>
  </si>
  <si>
    <t xml:space="preserve">Total = </t>
  </si>
  <si>
    <t>Test Case ID</t>
  </si>
  <si>
    <t>Test Scenario</t>
  </si>
  <si>
    <t>Test Case Title</t>
  </si>
  <si>
    <t>Pre-requisites</t>
  </si>
  <si>
    <t>Test Steps</t>
  </si>
  <si>
    <t>Test Data</t>
  </si>
  <si>
    <t>Expected Result (ER)</t>
  </si>
  <si>
    <t>Result</t>
  </si>
  <si>
    <t>Comments</t>
  </si>
  <si>
    <t>TC_ACC_001</t>
  </si>
  <si>
    <t>Validate login - default</t>
  </si>
  <si>
    <t>TC_ACC_002</t>
  </si>
  <si>
    <t>Validate user - access - header</t>
  </si>
  <si>
    <t>TC_ACC_003</t>
  </si>
  <si>
    <t>Validate login - access - wish list</t>
  </si>
  <si>
    <t>TC_ACC_004</t>
  </si>
  <si>
    <t>Validate login - access - check out</t>
  </si>
  <si>
    <t>TC_ACC_005</t>
  </si>
  <si>
    <t>Validate Login - email valid</t>
  </si>
  <si>
    <t>TC_ACC_006</t>
  </si>
  <si>
    <t>Validate Login - email format</t>
  </si>
  <si>
    <t>TC_ACC_007</t>
  </si>
  <si>
    <t>Validate Login - email boundary - below</t>
  </si>
  <si>
    <t>TC_ACC_008</t>
  </si>
  <si>
    <t>Validate Login - email boundary - above</t>
  </si>
  <si>
    <t>TC_ACC_009</t>
  </si>
  <si>
    <t>Validate Login - password valid</t>
  </si>
  <si>
    <t>TC_ACC_010</t>
  </si>
  <si>
    <t>Validate Login - password invalid</t>
  </si>
  <si>
    <t>TC_ACC_011</t>
  </si>
  <si>
    <t>Validate Login - password boundary - below</t>
  </si>
  <si>
    <t>TC_ACC_012</t>
  </si>
  <si>
    <t>Validate Login - password boundary - above</t>
  </si>
  <si>
    <t>TC_ACC_013</t>
  </si>
  <si>
    <t>Validate Login - pass</t>
  </si>
  <si>
    <t>TC_ACC_014</t>
  </si>
  <si>
    <t>Validate Login - fail</t>
  </si>
  <si>
    <t>TC_ACC_015</t>
  </si>
  <si>
    <t>Validate Login - forgot password</t>
  </si>
  <si>
    <t>TC_ACC_016</t>
  </si>
  <si>
    <t>Validate Register new Account</t>
  </si>
  <si>
    <t>TC_ACC_017</t>
  </si>
  <si>
    <t>Validate Register - default</t>
  </si>
  <si>
    <t>TC_ACC_018</t>
  </si>
  <si>
    <t>Validate Register - first name - valid</t>
  </si>
  <si>
    <t>TC_ACC_019</t>
  </si>
  <si>
    <t>Validate Register - first name - null</t>
  </si>
  <si>
    <t>TC_ACC_020</t>
  </si>
  <si>
    <t>Validate Register - first name - boundary - below</t>
  </si>
  <si>
    <t>TC_ACC_021</t>
  </si>
  <si>
    <t>Validate Register - first name - boundary - above</t>
  </si>
  <si>
    <t>TC_ACC_022</t>
  </si>
  <si>
    <t>Validate Register - last name - not support characters</t>
  </si>
  <si>
    <t>TC_ACC_023</t>
  </si>
  <si>
    <t>Validate Register - last name - valid</t>
  </si>
  <si>
    <t>TC_ACC_024</t>
  </si>
  <si>
    <t>Validate Register - last name - null</t>
  </si>
  <si>
    <t>TC_ACC_025</t>
  </si>
  <si>
    <t>Validate Register - last name - boundary - below</t>
  </si>
  <si>
    <t>TC_ACC_026</t>
  </si>
  <si>
    <t>Validate Register - last name - boundary - above</t>
  </si>
  <si>
    <t>TC_ACC_027</t>
  </si>
  <si>
    <t>TC_ACC_028</t>
  </si>
  <si>
    <t>Validate Register - email - valid</t>
  </si>
  <si>
    <t>TC_ACC_029</t>
  </si>
  <si>
    <t>Validate Register - email - null</t>
  </si>
  <si>
    <t>TC_ACC_030</t>
  </si>
  <si>
    <t>Validate Register - email - boundary - below</t>
  </si>
  <si>
    <t>TC_ACC_031</t>
  </si>
  <si>
    <t>Validate Register - email - boundary - above</t>
  </si>
  <si>
    <t>TC_ACC_032</t>
  </si>
  <si>
    <t>Validate Register - email - not support characters</t>
  </si>
  <si>
    <t>TC_ACC_033</t>
  </si>
  <si>
    <t>Validate Register - email - format</t>
  </si>
  <si>
    <t>TC_ACC_034</t>
  </si>
  <si>
    <t>Validate Register - subscribe</t>
  </si>
  <si>
    <t>TC_ACC_035</t>
  </si>
  <si>
    <t>Validate Register - policy</t>
  </si>
  <si>
    <t>TC_ACC_036</t>
  </si>
  <si>
    <t>Validate Register - success</t>
  </si>
  <si>
    <t>TC_ACC_037</t>
  </si>
  <si>
    <t>Validate user can logout</t>
  </si>
  <si>
    <t>TC_ACC_038</t>
  </si>
  <si>
    <t>Validate forgot password function</t>
  </si>
  <si>
    <t>TC_S_001</t>
  </si>
  <si>
    <t>Validate search - placeholder</t>
  </si>
  <si>
    <t>TC_S_002</t>
  </si>
  <si>
    <t>Validate search - empty</t>
  </si>
  <si>
    <t>TC_S_003</t>
  </si>
  <si>
    <t>Validate search - valid</t>
  </si>
  <si>
    <t>TC_S_004</t>
  </si>
  <si>
    <t>Validate search - exact</t>
  </si>
  <si>
    <t>TC_S_005</t>
  </si>
  <si>
    <t>Validate search - partial</t>
  </si>
  <si>
    <t>TC_S_006</t>
  </si>
  <si>
    <t>Validate search - product name</t>
  </si>
  <si>
    <t>TC_S_007</t>
  </si>
  <si>
    <t>Validate search - brand name</t>
  </si>
  <si>
    <t>TC_S_008</t>
  </si>
  <si>
    <t>Validate search - product cat</t>
  </si>
  <si>
    <t>TC_S_009</t>
  </si>
  <si>
    <t>Validate search - description</t>
  </si>
  <si>
    <t>TC_S_010</t>
  </si>
  <si>
    <t>Validate search - sub cat</t>
  </si>
  <si>
    <t>TC_S_011</t>
  </si>
  <si>
    <t>Validate search - character boundary - above</t>
  </si>
  <si>
    <t>TC_S_012</t>
  </si>
  <si>
    <t>Validate search - found</t>
  </si>
  <si>
    <t>TC_S_013</t>
  </si>
  <si>
    <t>Validate search - found multiple</t>
  </si>
  <si>
    <t>TC_S_014</t>
  </si>
  <si>
    <t>Validate search - not found</t>
  </si>
  <si>
    <t>TC_S_015</t>
  </si>
  <si>
    <t>Validate search - select subcat filter</t>
  </si>
  <si>
    <t>TC_S_016</t>
  </si>
  <si>
    <t>Validate list view</t>
  </si>
  <si>
    <t>TC_S_017</t>
  </si>
  <si>
    <t>Validate grid view</t>
  </si>
  <si>
    <t>TC_S_018</t>
  </si>
  <si>
    <t>Validate sorting</t>
  </si>
  <si>
    <t>TC_S_019</t>
  </si>
  <si>
    <t>Validate item display</t>
  </si>
  <si>
    <t>TC_S_020</t>
  </si>
  <si>
    <t>Validate navigate compare</t>
  </si>
  <si>
    <t>TC_PC_001</t>
  </si>
  <si>
    <t>Product comparison - default</t>
  </si>
  <si>
    <t>TC_PC_002</t>
  </si>
  <si>
    <t>Product comparison - empty</t>
  </si>
  <si>
    <t>TC_PC_003</t>
  </si>
  <si>
    <t>Product comparison - limit</t>
  </si>
  <si>
    <t>TC_PC_004</t>
  </si>
  <si>
    <t>Product comparison - duplicate</t>
  </si>
  <si>
    <t>TC_PC_005</t>
  </si>
  <si>
    <t>Product comparison - remove</t>
  </si>
  <si>
    <t>TC_PC_006</t>
  </si>
  <si>
    <t>Product comparison - view detailed product</t>
  </si>
  <si>
    <t>TC_PC_007</t>
  </si>
  <si>
    <t>Product comparison - add specific item to cart</t>
  </si>
  <si>
    <t>TC_PC_008</t>
  </si>
  <si>
    <t>TC_PC_009</t>
  </si>
  <si>
    <t>TC_PC_010</t>
  </si>
  <si>
    <t>TC_PC_011</t>
  </si>
  <si>
    <t>&lt;&lt;Test Scenario</t>
  </si>
  <si>
    <t>Current status :</t>
  </si>
  <si>
    <t>TC_HP_001</t>
  </si>
  <si>
    <t>Validate top menu</t>
  </si>
  <si>
    <t>Open https://demo.opencart.com</t>
  </si>
  <si>
    <t>1. Validate that top menu is displayed correctly (Validate ER-1)</t>
  </si>
  <si>
    <t>No Applicable</t>
  </si>
  <si>
    <t>1) Top menu should displayed at top of the page under header which contain top parent categories of products as following :
Desktops
Laptop &amp; Notebooks
Components
Tablets
Software
Phone &amp; PDAs
Cameras
MP3 Players</t>
  </si>
  <si>
    <t>TC_HP_002</t>
  </si>
  <si>
    <t>Validate 'Direct back to home page' from product page</t>
  </si>
  <si>
    <t>1. Click on product from 'Featured products - &lt;Refer Test Data&gt;
2. Wait for application to redirect user to product page (Validate ER-1)
3. Click store logo at top right corner on header (Validate ER-2)</t>
  </si>
  <si>
    <t>MacBook</t>
  </si>
  <si>
    <t>1) User should redirect to product page
2) User should redirect back to home page</t>
  </si>
  <si>
    <t>TC_HP_003</t>
  </si>
  <si>
    <t>Validate 'Direct back to home page' from shopping cart page</t>
  </si>
  <si>
    <t xml:space="preserve">1. Click 'Shopping Cart' (Validate ER-1)
2. Click store logo at top right corner on header (Validate ER-2)
</t>
  </si>
  <si>
    <t>1) User should redirect to shopping cart page
2) User should redirect back to home page</t>
  </si>
  <si>
    <t>TC_HP_004</t>
  </si>
  <si>
    <t>Slideshow display image</t>
  </si>
  <si>
    <t>1. Validate display image (Validate ER-1)</t>
  </si>
  <si>
    <t>1) All Selected images will appear in slideshow</t>
  </si>
  <si>
    <t>TC_HP_005</t>
  </si>
  <si>
    <t>Slideshow automatically change image</t>
  </si>
  <si>
    <t>1. Wait a certain amount of time (Validate ER-1)</t>
  </si>
  <si>
    <t>1) image in slidesohw should shift to the next one</t>
  </si>
  <si>
    <t>TC_HP_006</t>
  </si>
  <si>
    <t>Slideshow manually change image</t>
  </si>
  <si>
    <t>1. Validate display image (Validate ER-1)
2. Select another dot under image (Validate ER-2)</t>
  </si>
  <si>
    <t>1) image should display correctly
2) image should shift to the selected one</t>
  </si>
  <si>
    <t>TC_HP_007</t>
  </si>
  <si>
    <t>Slideshow select product</t>
  </si>
  <si>
    <t>1. Click display image - &lt;Refer Test Data&gt;
2. Validate navigation result (Validate ER-1)</t>
  </si>
  <si>
    <t>Slideshow image : 'MacBook'</t>
  </si>
  <si>
    <t>1) User should redirect to product page of selected product</t>
  </si>
  <si>
    <t>TC_HP_008</t>
  </si>
  <si>
    <t>Validate 'Featured products' details</t>
  </si>
  <si>
    <t>1. Validate featured product display correctly (Validate ER-1)</t>
  </si>
  <si>
    <t>1) Featured product should display under slideshow contain following elements:
1. Item Box
2. Product image
3. Product name
4. Product price
5. 'ADD TO CART' button
6. 'Wish list' button
7. 'Compare product' button</t>
  </si>
  <si>
    <t>TC_HP_009</t>
  </si>
  <si>
    <t>Validate 'Featured products' swish list of product</t>
  </si>
  <si>
    <t>1. Click another dot under displayed featured (Validate ER-1)</t>
  </si>
  <si>
    <t>1) Featured product should shift to another set of displayed product</t>
  </si>
  <si>
    <t>TC_HP_010</t>
  </si>
  <si>
    <t>Select product from 'Featured products'</t>
  </si>
  <si>
    <t>1. Click on product image from 'Featured' - &lt;Refer Test Data&gt;
2. Validate nagivation result (Validate ER-1)</t>
  </si>
  <si>
    <t>Product : MacBook</t>
  </si>
  <si>
    <t>TC_HP_011</t>
  </si>
  <si>
    <t>Validate footer</t>
  </si>
  <si>
    <t>1. Validate that footer is displayed correctly (Validate ER-1)</t>
  </si>
  <si>
    <t>1) Footer should displayed at bottom of the page and divided into following section :
Information : About Us, Delivery Information, Privacy Policy, Term &amp; Conditions
Customer Services : Contact Us, Returns, Site Map
Extra : Brands, Gift Voucher, Affiliate, Specials
My Account : My Account, Order History, Wish List, Newsletter</t>
  </si>
  <si>
    <t>TC_TM_01</t>
  </si>
  <si>
    <t>Validate top menu visibility on any page</t>
  </si>
  <si>
    <t>Open https://demo.opencart.com or currently in any page on application</t>
  </si>
  <si>
    <t>1. Validate that top menu is displayed correctly ( Validate ER-1)</t>
  </si>
  <si>
    <t>Top menu should be displayed at top of the page on every page of the store</t>
  </si>
  <si>
    <t>TC_TM_02</t>
  </si>
  <si>
    <t>Validate top menu content</t>
  </si>
  <si>
    <t>1. Validate top menu contents display correctly (Validate ER-1)</t>
  </si>
  <si>
    <t>Top menu should contain parent categories as following : 
- Desktops
- Laptops &amp; Notebooks
- Components
- Tablets
- Software
- Phones &amp; PDAs
- Cameras
- MP3 Players</t>
  </si>
  <si>
    <t>TC_TM_03</t>
  </si>
  <si>
    <t>Validate top menu action 'click' on parent category</t>
  </si>
  <si>
    <t>1. Click on any of 'top menu' content - &lt;Refer Test Data&gt;
2. Validate result ( Validate ER-1)</t>
  </si>
  <si>
    <t>Desktops</t>
  </si>
  <si>
    <t>Should navigate user to selected category page</t>
  </si>
  <si>
    <t>TC_TM_04</t>
  </si>
  <si>
    <t>Validate top menu action 'hover'</t>
  </si>
  <si>
    <t>1. Hover on any of 'top menu' content - &lt;Refer Test Data&gt;
2. Validate result (Validate ER-1)</t>
  </si>
  <si>
    <t>Laptops &amp; Notebooks</t>
  </si>
  <si>
    <t>A drop-down menu will display the sub-categories for that parent category</t>
  </si>
  <si>
    <t>TC_TM_05</t>
  </si>
  <si>
    <t>Validate top menu action 'click' on sub-category</t>
  </si>
  <si>
    <t xml:space="preserve">Open https://demo.opencart.com
</t>
  </si>
  <si>
    <t>1. Hover on 'top menu' content - &lt;Refer Test Data - Parent Category&gt;
2. Click on 'sub category' - &lt;Refer Test Data - Subcategory&gt;
3. Validate result (Validate ER-1)</t>
  </si>
  <si>
    <t>Parent Category : Desktops
Subcategory : CPU</t>
  </si>
  <si>
    <t>Should navigate user to product page which display only selected subcategory</t>
  </si>
  <si>
    <t>TC_HD_001</t>
  </si>
  <si>
    <t>Validate header</t>
  </si>
  <si>
    <t>Open https://demo.opencart.com
Navigate in any page of application</t>
  </si>
  <si>
    <t>1. Validate that header is displayed correctly (Validate ER-1)</t>
  </si>
  <si>
    <t>Header should displayed at top of the page and contain following options
Store logo
Currency block
Shopping Cart
Search box
Links
Telephone
My Account</t>
  </si>
  <si>
    <t>TC_HD_002</t>
  </si>
  <si>
    <t xml:space="preserve">Validate store logo funtionality </t>
  </si>
  <si>
    <t>1. Click store logo (Validate ER-1)</t>
  </si>
  <si>
    <t>Should navigate to home page</t>
  </si>
  <si>
    <t>TC_HD_003</t>
  </si>
  <si>
    <t>Validate currency functionality</t>
  </si>
  <si>
    <t xml:space="preserve">1. Click at 'Currency' on the left side of header (Validate ER-1)
</t>
  </si>
  <si>
    <t>Correct 2 available option should be USD($) and EUR(€)</t>
  </si>
  <si>
    <t>TC_HD_004</t>
  </si>
  <si>
    <t>Validate telephone display</t>
  </si>
  <si>
    <t>1. Validate company telephone number (Validate ER-1)</t>
  </si>
  <si>
    <t>Company telephone number should be '123456789'</t>
  </si>
  <si>
    <t>TC_HD_005</t>
  </si>
  <si>
    <t>Validate 'My Account' link</t>
  </si>
  <si>
    <t>1. Click 'My Account' link (Validate ER-1)</t>
  </si>
  <si>
    <t>Should display dropdown list 'login' and 'register'</t>
  </si>
  <si>
    <t>TC_HD_006</t>
  </si>
  <si>
    <t>Validate link 'My Account' - 'Register'</t>
  </si>
  <si>
    <t>Should redirect to register page</t>
  </si>
  <si>
    <t>TC_HD_007</t>
  </si>
  <si>
    <t>Validate link 'My Account' - 'Login'</t>
  </si>
  <si>
    <t>Should redirect to login page</t>
  </si>
  <si>
    <t>TC_HD_008</t>
  </si>
  <si>
    <t>Validate link 'Wish List'</t>
  </si>
  <si>
    <t>1. Click 'Wish List' link (Validate ER-1)</t>
  </si>
  <si>
    <t>Should redirect to wish list page</t>
  </si>
  <si>
    <t>TC_HD_009</t>
  </si>
  <si>
    <t>Validate link 'Wish List' if not logged in</t>
  </si>
  <si>
    <t>1. Click hearth symbol which displayed on product - &lt;Refer Test Data&gt;
2. Validate message (Validate ER-1)</t>
  </si>
  <si>
    <t>Product : Canon EOS 5D</t>
  </si>
  <si>
    <t>A message "You must login or create an account to save Canon EOS 5D to your wish list!" should appear</t>
  </si>
  <si>
    <t>TC_HD_010</t>
  </si>
  <si>
    <t>Validate 'Wish List' button after added an item</t>
  </si>
  <si>
    <t>Open https://demo.opencart.com
and log in</t>
  </si>
  <si>
    <t>1. Click hearth symbol which displayed on product - &lt;Refer Test Data&gt;
2. Reload page
3. Validate 'Wish List' button (Validate ER-1)</t>
  </si>
  <si>
    <t>A 'Wish List' button should change to Wish List(1)</t>
  </si>
  <si>
    <t>TC_HD_011</t>
  </si>
  <si>
    <t>Validate 'Wish List' button after added multiple item</t>
  </si>
  <si>
    <t>1. Click hearth symbol which displayed on multiple product - &lt;Refer Test Data&gt;
2. Reload page
3. Validate 'Wish List' button (Validate ER-1)</t>
  </si>
  <si>
    <t xml:space="preserve">Product : iPhone, MacBook, Apple Cinema 30"
</t>
  </si>
  <si>
    <t>A 'Wish List' button should display Wish List(3)</t>
  </si>
  <si>
    <t>TC_HD_012</t>
  </si>
  <si>
    <t>Validate 'Wish List' button' removing an item</t>
  </si>
  <si>
    <t>Open https://demo.opencart.com
and log in
Added multiple wish list item</t>
  </si>
  <si>
    <t>1. Click hearth symbol which displayed on product - &lt;Refer Test Data&gt;
2. Click on 'Wish List' button
3. Click remove button on selected item  (Validate ER-1)</t>
  </si>
  <si>
    <t>A 'Wish List' button should reduce number in bracket by 1</t>
  </si>
  <si>
    <t>TC_HD_013</t>
  </si>
  <si>
    <t xml:space="preserve">Validate link 'Shopping Cart' </t>
  </si>
  <si>
    <t>1.Click 'Shopping Cart' button (Validate ER-1)</t>
  </si>
  <si>
    <t>Should redirect to shopping cart page</t>
  </si>
  <si>
    <t>TC_HD_014</t>
  </si>
  <si>
    <t>Validate shopping cart button (empty)</t>
  </si>
  <si>
    <t>1. Click 'Shopping Cart' button on the header (Validate ER-1)</t>
  </si>
  <si>
    <t>Should show message "You shoping cart is empty!"</t>
  </si>
  <si>
    <t>TC_HD_015</t>
  </si>
  <si>
    <t>Validate shopping cart button after add item(s)</t>
  </si>
  <si>
    <t xml:space="preserve">Open https://demo.opencart.com
log in and added item(s) </t>
  </si>
  <si>
    <t>Should show item details of every item in cart,total cost and button to check out</t>
  </si>
  <si>
    <t>TC_HD_016</t>
  </si>
  <si>
    <t>Validate shopping cart 'View Cart' button</t>
  </si>
  <si>
    <t>1. Click 'Shopping Cart' button on the header
2. Click 'View Cart' button (Validate ER-1)</t>
  </si>
  <si>
    <t>Should redirect to cart page</t>
  </si>
  <si>
    <t>TC_HD_017</t>
  </si>
  <si>
    <t>Validate link 'Check Out'</t>
  </si>
  <si>
    <t>1. Click 'Check Out' button (Validate ER-1)</t>
  </si>
  <si>
    <t>Should redirect to checkout page</t>
  </si>
  <si>
    <t>TC_HD_018</t>
  </si>
  <si>
    <t>Validate search box</t>
  </si>
  <si>
    <t>1. Input text into search box  - &lt;Refer Test Data&gt;
2. Click Search button (Validate ER-1)</t>
  </si>
  <si>
    <t>"Iphone"</t>
  </si>
  <si>
    <t>Should redirect to search result page</t>
  </si>
  <si>
    <t>TC_HD_019</t>
  </si>
  <si>
    <t>Validate search box - too many characters</t>
  </si>
  <si>
    <t>a text that has over a 500 characters</t>
  </si>
  <si>
    <t>Should show error message "you exeed the character limit"</t>
  </si>
  <si>
    <t>do not show error message and proceed with data.
sometimes cause error 522</t>
  </si>
  <si>
    <t>Defect-003</t>
  </si>
  <si>
    <t>TC_FT_001</t>
  </si>
  <si>
    <t>Validate footer contents</t>
  </si>
  <si>
    <t>Open Application</t>
  </si>
  <si>
    <t>1. Validate content of footer (Validate ER-1)</t>
  </si>
  <si>
    <t>Footer should located at bottom of every page and contain following contents :
Information which have :
 About Us, Delivery Information, Privacy Policy, Terms &amp; Conditions
Customer Service which have:
 Contact Us, Returns, Site Map
Extras which have:
 Brands, Gift Vouchers, Affiliates, Specials
My Account which have:
 My Account, Order History, Wish List, Newsletter</t>
  </si>
  <si>
    <t>TC_FT_002</t>
  </si>
  <si>
    <t>Validate footer link 'About Us'</t>
  </si>
  <si>
    <t>1. Click on footer content - &lt;Refer Test Data&gt;
2. Validate navigation result (Validate ER-1)</t>
  </si>
  <si>
    <t>TC_FT_003</t>
  </si>
  <si>
    <t>Validate footer link 'Delivery Information'</t>
  </si>
  <si>
    <t>TC_FT_004</t>
  </si>
  <si>
    <t>Validate fotter link 'Privacy Policy'</t>
  </si>
  <si>
    <t>TC_FT_005</t>
  </si>
  <si>
    <t>Validate footer link 'Term &amp; Conditions'</t>
  </si>
  <si>
    <t>TC_FT_006</t>
  </si>
  <si>
    <t>Validate footer link 'Contact Us'</t>
  </si>
  <si>
    <t>TC_FT_007</t>
  </si>
  <si>
    <t>Validate footer link ' Returns'</t>
  </si>
  <si>
    <t>TC_FT_008</t>
  </si>
  <si>
    <t>Validate footer link 'Site Map'</t>
  </si>
  <si>
    <t>TC_FT_009</t>
  </si>
  <si>
    <t>Validate footer link 'Brands'</t>
  </si>
  <si>
    <t>TC_FT_010</t>
  </si>
  <si>
    <t>Validate footer link 'Gift Voucher'</t>
  </si>
  <si>
    <t>TC_FT_011</t>
  </si>
  <si>
    <t>Validate footer link 'Affiliates'</t>
  </si>
  <si>
    <t>TC_FT_012</t>
  </si>
  <si>
    <t>Validate footer link 'Specials'</t>
  </si>
  <si>
    <t>TC_FT_013</t>
  </si>
  <si>
    <t>Validate footer link 'My Account'</t>
  </si>
  <si>
    <t>TC_FT_014</t>
  </si>
  <si>
    <t>Validate footer link 'Order History'</t>
  </si>
  <si>
    <t>TC_FT_015</t>
  </si>
  <si>
    <t>Validate footer link 'Wish List'</t>
  </si>
  <si>
    <t>TC_FT_016</t>
  </si>
  <si>
    <t>Validate footer link 'Newletter'</t>
  </si>
  <si>
    <t>TC_PP_001</t>
  </si>
  <si>
    <t>Validate product page contain a complete elements</t>
  </si>
  <si>
    <t>Open application,
Open product page</t>
  </si>
  <si>
    <t>1. Validate product page element (Validate ER-1)</t>
  </si>
  <si>
    <t>Not applicable</t>
  </si>
  <si>
    <t xml:space="preserve">Product page should contain following sections :
Product image, Product details, Cart, Rating/Sharing, Description tab, Review tab
</t>
  </si>
  <si>
    <t>TC_PP_002</t>
  </si>
  <si>
    <t>Validate product images displayed correctly</t>
  </si>
  <si>
    <t>1. Validate product page image (Validate ER-1)</t>
  </si>
  <si>
    <t>Product image can be displayed under title on the left-side, along with alternate views of the product underneath it in smaller box</t>
  </si>
  <si>
    <t>TC_PP_003</t>
  </si>
  <si>
    <t>Validate product images expand functionality</t>
  </si>
  <si>
    <t>1. Click on main image
2. Validate expand function (Validate ER-1)</t>
  </si>
  <si>
    <t>Product image should expand within the window</t>
  </si>
  <si>
    <t>TC_PP_004</t>
  </si>
  <si>
    <t>Validate product details information</t>
  </si>
  <si>
    <t>1. Validate product details ( Validate ER-1)</t>
  </si>
  <si>
    <t>Product details should contain :
The product code, availability, price
and displayed correctly</t>
  </si>
  <si>
    <t>TC_PP_005</t>
  </si>
  <si>
    <t>Validate accpet product quantity</t>
  </si>
  <si>
    <t>1. Input test data into quantity box - &lt;Refer test data&gt;
2. Click 'Add to Cart' button
3. Validate product details (Validate ER-1)</t>
  </si>
  <si>
    <t>Quantity : 5</t>
  </si>
  <si>
    <t>Product added to cart successfully</t>
  </si>
  <si>
    <t>TC_PP_006</t>
  </si>
  <si>
    <t>Validate reject product quantity</t>
  </si>
  <si>
    <t>Quantity : -5
Quantity : two</t>
  </si>
  <si>
    <t>Error message should appear "Please input quantity correctly"</t>
  </si>
  <si>
    <t>TC_PP_007</t>
  </si>
  <si>
    <t>Validate availability of product</t>
  </si>
  <si>
    <t>Open application,
Open product page,
Product is available</t>
  </si>
  <si>
    <t>1. Validate product availability (Validate ER-1)</t>
  </si>
  <si>
    <t>Product detail availability should be : 'In Stock' and 'Add to Cart' button should be enabled</t>
  </si>
  <si>
    <t>TC_PP_008</t>
  </si>
  <si>
    <t>Validate unavailability of product</t>
  </si>
  <si>
    <t>Open application,
Open product page,
Product is out of stock</t>
  </si>
  <si>
    <t>Product detail availability should be : 'Out of Stock' and 'Add to Cart' button should be disabled</t>
  </si>
  <si>
    <t>TC_PP_009</t>
  </si>
  <si>
    <t>Validate wish list funtionality</t>
  </si>
  <si>
    <t>1. Click on 'wish list' button above the product name(Hearth Symbol)
2. Validate the result (Validate ER-1)</t>
  </si>
  <si>
    <t>Page should display "Wish list added successfully"</t>
  </si>
  <si>
    <t>TC_PP_010</t>
  </si>
  <si>
    <t>Validate compare funtionality</t>
  </si>
  <si>
    <t>1. Click on 'compare' button above the product name(next to 'wish list' button)
2. Validate the result (Validate ER-1)</t>
  </si>
  <si>
    <t>Product should added to compare list</t>
  </si>
  <si>
    <t>TC_PP_011</t>
  </si>
  <si>
    <t>Validate rating functionality</t>
  </si>
  <si>
    <t>1. Click on the star underneath 'Add to Cart' button
2. Validate the result (Validate ER-1)</t>
  </si>
  <si>
    <t>The star should change based on average of total star</t>
  </si>
  <si>
    <t>TC_PP_012</t>
  </si>
  <si>
    <t>Validate sharing funtionality</t>
  </si>
  <si>
    <t>1. Click on social media button
2. Validate the result (Validate ER-1)</t>
  </si>
  <si>
    <t>Should open new window that connect to selected platform</t>
  </si>
  <si>
    <t>TC_PP_013</t>
  </si>
  <si>
    <t>Validate description tab display correctly</t>
  </si>
  <si>
    <t>1. Validate product description ( Validate ER-1)</t>
  </si>
  <si>
    <t>Detailed description of the product should display correctly</t>
  </si>
  <si>
    <t>TC_PP_014</t>
  </si>
  <si>
    <t>Validate review functionality</t>
  </si>
  <si>
    <t>1. Click on 'write a review' link underneath 'Add to Cart' button
2. Write review(s) - &lt;Refer test data&gt;
3. Click send (Validate ER-1)</t>
  </si>
  <si>
    <t>This product is over heat easily'</t>
  </si>
  <si>
    <t>Should display message 'Review succesful thank you for your review'</t>
  </si>
  <si>
    <t>TC_PP_015</t>
  </si>
  <si>
    <t>Validate review functionality - error</t>
  </si>
  <si>
    <t>1. Click on 'write a review' link underneath 'Add to Cart' button
2. Do not input any text in review
3. Click send (Validate ER-1)</t>
  </si>
  <si>
    <t>Should display a required fied or 'please write a review' message</t>
  </si>
  <si>
    <t>TC_PP_016</t>
  </si>
  <si>
    <t>Validate category listing product</t>
  </si>
  <si>
    <t>Open application,
Select Category from 'top menu'</t>
  </si>
  <si>
    <t>1. Validate category page(Validate ER-1)</t>
  </si>
  <si>
    <t>Should display selection of products based on category</t>
  </si>
  <si>
    <t>TC_PP_017</t>
  </si>
  <si>
    <t>Validate category listing product - 'Category'</t>
  </si>
  <si>
    <t>1. Validate category page displayed corectly (Validate ER-1)</t>
  </si>
  <si>
    <t>Should display the following elements :
Parent category tab on the left side of the screen that list sub-category underneath</t>
  </si>
  <si>
    <t>TC_PP_018</t>
  </si>
  <si>
    <t>Validate sub-category functionality</t>
  </si>
  <si>
    <t>1. Click on selected sub-category - &lt;Refer test data&gt;
2. Validate result (Validate ER-1)</t>
  </si>
  <si>
    <t>Sub categoty : Mac</t>
  </si>
  <si>
    <t>Product list should change based on selected sub-category</t>
  </si>
  <si>
    <t>TC_PP_019</t>
  </si>
  <si>
    <t>Validate sub-category functionality - empty</t>
  </si>
  <si>
    <t>1. Click on selected  sub-category - &lt;Refer test data&gt;
2. Validate result (Validate ER-1)</t>
  </si>
  <si>
    <t>Sub categoty : Software</t>
  </si>
  <si>
    <t>Product list should display message 'There is no product in this section'</t>
  </si>
  <si>
    <t>TC_PP_020</t>
  </si>
  <si>
    <t>Validate displayed preference - listing type option</t>
  </si>
  <si>
    <t>1. Validate result (Validate ER-1)</t>
  </si>
  <si>
    <t>there are 2 type avialable by 'list' or 'grid'</t>
  </si>
  <si>
    <t>TC_PP_021</t>
  </si>
  <si>
    <t>Validate displayed preference - listing type selection</t>
  </si>
  <si>
    <t>1. Select display type - &lt;Refer test data&gt;
2. Validate result (Validate ER-1)</t>
  </si>
  <si>
    <t>display type : list</t>
  </si>
  <si>
    <t>Product list should change displayed type to list</t>
  </si>
  <si>
    <t>TC_PP_022</t>
  </si>
  <si>
    <t>Validate displayed preference - sorting option</t>
  </si>
  <si>
    <t>1. Click on sorting dropdown box
2. Validate result (Validate ER-1)</t>
  </si>
  <si>
    <t>there are option for sorting as following : by name, price, rating, model</t>
  </si>
  <si>
    <t>TC_PP_023</t>
  </si>
  <si>
    <t>Validate displayed preference - sorting selection</t>
  </si>
  <si>
    <t>1. Click on sorting dropdown box
2. Select sorting type - &lt;Refer test data&gt;
3. Validate result (Validate ER-1)</t>
  </si>
  <si>
    <t>Sorting by : Price</t>
  </si>
  <si>
    <t>Product list should displayed and ordering by price</t>
  </si>
  <si>
    <t>TC_PP_024</t>
  </si>
  <si>
    <t>Validate displayed preference - displaying number</t>
  </si>
  <si>
    <t>1. Click on show dropdown box
2. Validate result (Validate ER-1)</t>
  </si>
  <si>
    <t>Amount of product displayed can change from 15 up to 100</t>
  </si>
  <si>
    <t>TC_PP_025</t>
  </si>
  <si>
    <t xml:space="preserve">Validate displayed preference - displaying number selection </t>
  </si>
  <si>
    <t>1. Click on show dropdown box
2. Select amount for displaying the product - &lt;Refer test data&gt;
3. Validate result (Validate ER-1)</t>
  </si>
  <si>
    <t>Amount : 15</t>
  </si>
  <si>
    <t>Amount of product displayed should be maximum at 15</t>
  </si>
  <si>
    <t>TC_PP_026</t>
  </si>
  <si>
    <t xml:space="preserve">Validate displayed preference - displaying number selection product not enough </t>
  </si>
  <si>
    <t>Amount : 100</t>
  </si>
  <si>
    <t>The remaining amount should not shown at all</t>
  </si>
  <si>
    <t>TC_PP_027</t>
  </si>
  <si>
    <t>Validate access to product comparison page</t>
  </si>
  <si>
    <t>1. Add product to compare list by click 'Compare this product' button - &lt;Refer test data&gt;
2. Click 'Product Compare' button on top left side of product list
3. Validate result (Validate ER-1)</t>
  </si>
  <si>
    <t>Product : iMac &amp; MacBook</t>
  </si>
  <si>
    <t>Should navigate user to product comparison page</t>
  </si>
  <si>
    <t>TC_PP_028</t>
  </si>
  <si>
    <t>Validate product comparison page elements</t>
  </si>
  <si>
    <t>Open application,Open compare product page</t>
  </si>
  <si>
    <t>The product comparison page should displayed 2 or more product compare to each other. the specifications that has to compare will contain these following:
product name, product image, price, features(show differently depend on product type) with a button to add product to cart or remove from compare list</t>
  </si>
  <si>
    <t>TC_PP_029</t>
  </si>
  <si>
    <t>Validate product comparison add product to cart</t>
  </si>
  <si>
    <t>1.Click 'Add to Cart' button underneath selected product - &lt;Refer test data&gt;
2.Validate result (Validate ER-1)</t>
  </si>
  <si>
    <t>Process to next page and show a successful added to cart message with a button for return to home page</t>
  </si>
  <si>
    <t>TC_PP_030</t>
  </si>
  <si>
    <t>Validate product comparison remove product from comparison list</t>
  </si>
  <si>
    <t>1.Click 'Remove' button underneath selected product - &lt;Refer test data&gt;
2.Validate result (Validate ER-1)</t>
  </si>
  <si>
    <t>MacBook Air</t>
  </si>
  <si>
    <t>Selected product should be removed from product comparison page</t>
  </si>
  <si>
    <t>TC_SC_001</t>
  </si>
  <si>
    <t>Validate access to shopping cart page</t>
  </si>
  <si>
    <t>Open application,
Added product to the cart</t>
  </si>
  <si>
    <t>1. Click 'Shopping Cart' in header
2. Validate result (Validate ER-1)</t>
  </si>
  <si>
    <t>Redirect user to 'Shopping Cart Page'</t>
  </si>
  <si>
    <t>TC_SC_002</t>
  </si>
  <si>
    <t>Validate shopping cart page content - cart</t>
  </si>
  <si>
    <t>Open application,
Added product to the cart,
Open shopping cart page</t>
  </si>
  <si>
    <t>Shopping cart page should show following element correctly :
header, image, product name, model, quantity, unit price, total</t>
  </si>
  <si>
    <t>TC_SC_003</t>
  </si>
  <si>
    <t>Validate cart functionality  - change quantity of the product</t>
  </si>
  <si>
    <t>1. Change quantity -&lt;Refer test data&gt;
2. Click refresh button next to quality 
3. Validate result (Validate ER-1)</t>
  </si>
  <si>
    <t>Total price , Eco Tax, VAT should be updated</t>
  </si>
  <si>
    <t>TC_SC_004</t>
  </si>
  <si>
    <t>Validate cart functionality - increase quantity of the product - out of stock</t>
  </si>
  <si>
    <t>Quantity : 200</t>
  </si>
  <si>
    <t>Should show a message "your quantity of the product is more than the current stock please lower the quantity or cancel the order"</t>
  </si>
  <si>
    <t>TC_SC_005</t>
  </si>
  <si>
    <t>Validate cart functionality - decrease quantity of the product - lower than 1</t>
  </si>
  <si>
    <t>Quantity : 0</t>
  </si>
  <si>
    <t>Should not accpet the number 0 in quantity or remove item from cart</t>
  </si>
  <si>
    <t>TC_SC_006</t>
  </si>
  <si>
    <t>Validate cart functionality - remove item</t>
  </si>
  <si>
    <t>1. Click 'X' symbol next to refresh button
2. Validate result (Validate ER-1)</t>
  </si>
  <si>
    <t>The product should be removed from cart</t>
  </si>
  <si>
    <t>TC_SC_007</t>
  </si>
  <si>
    <t>Validate shopping cart page content - option</t>
  </si>
  <si>
    <t>User can use these following option :
apply coupon, estimating shipping &amp; taxes, use gift certificate</t>
  </si>
  <si>
    <t>TC_SC_008</t>
  </si>
  <si>
    <t>Validate coupon tab show</t>
  </si>
  <si>
    <t>1. Click on 'Use coupon code' (Validate ER-1)</t>
  </si>
  <si>
    <t xml:space="preserve">1. coupon tab should appear </t>
  </si>
  <si>
    <t>TC_SC_009</t>
  </si>
  <si>
    <t>Validate coupon tab hidden</t>
  </si>
  <si>
    <t>Open application,
Added product to the cart,
Open shopping cart page,
Open a coupon tab</t>
  </si>
  <si>
    <t>1. coupon tab should hidden</t>
  </si>
  <si>
    <t>TC_SC_010</t>
  </si>
  <si>
    <t>Validate valid coupon</t>
  </si>
  <si>
    <t>1. Enter coupon code -&lt;Refer test data&gt;
2. Validate result (Validate ER-1)</t>
  </si>
  <si>
    <t>HNY2026</t>
  </si>
  <si>
    <t>Coupon code should be accepct and calculated discount should display</t>
  </si>
  <si>
    <t>TC_SC_011</t>
  </si>
  <si>
    <t>Validate invalid coupon - expired</t>
  </si>
  <si>
    <t>1. Click on 'Use coupon code' (Validate ER-1)
2. Enter coupon code -&lt;Refer test data&gt;
3. Validate result (Validate ER-1)</t>
  </si>
  <si>
    <t>HNY2000</t>
  </si>
  <si>
    <t>Should display message "this coupon code is expired"</t>
  </si>
  <si>
    <t>TC_SC_012</t>
  </si>
  <si>
    <t>Validate invalid coupon - wrong coupon</t>
  </si>
  <si>
    <t>FACEBOOK</t>
  </si>
  <si>
    <t>Should display message "this coupon code is invalid"</t>
  </si>
  <si>
    <t>TC_SC_013</t>
  </si>
  <si>
    <t>Validate invalid coupon - boundary</t>
  </si>
  <si>
    <t>A,Happynewyaer2026</t>
  </si>
  <si>
    <t>Should not accpet coupon that not in boundary ( 5-10 characters)</t>
  </si>
  <si>
    <t>TC_SC_014</t>
  </si>
  <si>
    <t>Validate estimate &amp; shipping taxes show</t>
  </si>
  <si>
    <t>1. Click on 'Estimate Shipping &amp; Taxes' 
2. Validate result (Validate ER-1)</t>
  </si>
  <si>
    <t xml:space="preserve"> 'Estimate Shipping &amp; Taxes' should appear below the tab, should contain following details : 
Country input, Region input, Post code input and Get Quotes button.</t>
  </si>
  <si>
    <t>TC_SC_015</t>
  </si>
  <si>
    <t>Validate estimate &amp; shipping taxes hidden</t>
  </si>
  <si>
    <t>Open application,
Added product to the cart,
Open shopping cart page,
Open estimate &amp; shipping taxes tab</t>
  </si>
  <si>
    <t>The tab should hidden</t>
  </si>
  <si>
    <t>TC_SC_016</t>
  </si>
  <si>
    <t>Validate country selection - default</t>
  </si>
  <si>
    <t>Default country should be 'United Kingdom'</t>
  </si>
  <si>
    <t>TC_SC_017</t>
  </si>
  <si>
    <t>Validate country selection</t>
  </si>
  <si>
    <t>1. Click dropdown button on Country tab (Validate ER-1)
2. Select country - &lt;Refer test data&gt;
3. Validate result (Validate ER-2)</t>
  </si>
  <si>
    <t>Thailand</t>
  </si>
  <si>
    <t>1. Country list should appear in dropdown selection format
2. Selected country should show in country tab</t>
  </si>
  <si>
    <t>TC_SC_018</t>
  </si>
  <si>
    <t>Validate country selection - required field</t>
  </si>
  <si>
    <t>1. Select country -&lt;Refer test data&gt;
2. Click 'Get Quotes' button
3. Validate result (Validate ER-1)</t>
  </si>
  <si>
    <t>Country : Please Select</t>
  </si>
  <si>
    <t>Country should not be possible to send null option,Country tab should be required field</t>
  </si>
  <si>
    <t>TC_SC_019</t>
  </si>
  <si>
    <t>Validate 'Region/State' selection - default</t>
  </si>
  <si>
    <t>1.Validate result (Validate ER-1)</t>
  </si>
  <si>
    <t>Default option should be --None-- due to not yet select country</t>
  </si>
  <si>
    <t>TC_SC_020</t>
  </si>
  <si>
    <t>Validate 'Region/State' selection - selection list</t>
  </si>
  <si>
    <t>1. Select country -&lt;Refer test data&gt;
2. Validate result (Validate ER-1)</t>
  </si>
  <si>
    <t>Country : Thailand</t>
  </si>
  <si>
    <t xml:space="preserve">1. All Region/State in selected country should appear on region/state drop down list </t>
  </si>
  <si>
    <t>TC_SC_021</t>
  </si>
  <si>
    <t>Validate 'Region/State' selection - selection</t>
  </si>
  <si>
    <t>Open application,
Added product to the cart,
Open shopping cart page,
Open estimate &amp; shipping taxes tab,
Select country</t>
  </si>
  <si>
    <t>1. Select country -&lt;Refer test data (country)&gt;
2. Validate result (Validate ER-1)
3. Select state -&lt;Refer test data (state/region)&gt;
4. Validate result (Validate ER-2)</t>
  </si>
  <si>
    <t>Country : Thailand,
Region/State : krabi</t>
  </si>
  <si>
    <t>1. All Region/State in selected country should appear on region/state drop down list 
2. Selected option should show in 'Region/State' tab</t>
  </si>
  <si>
    <t>TC_SC_022</t>
  </si>
  <si>
    <t>Validate 'Region/State' selection - invalid</t>
  </si>
  <si>
    <t>1. Select country -&lt;Refer test data (country)&gt;
2. Validate result (Validate ER-1)
3. Select state -&lt;Refer test data (state/region)&gt;
4. Validate result (Validate ER-2,ER-3,ER-4)</t>
  </si>
  <si>
    <t>Country : Thailand
Region/State : Please Select</t>
  </si>
  <si>
    <t>1. All Region/State in selected country should appear on region/state drop down list 
2. Region/state should not be possible to send null option
3. Region/state tab should be required field
4. Error message 'Please select region / state !' should appear</t>
  </si>
  <si>
    <t>TC_SC_023</t>
  </si>
  <si>
    <t>Validate 'Post Code' data - valid</t>
  </si>
  <si>
    <t>1. Enter post code -&lt;Refer test data&gt;
2. Click 'Get Quotes' button
3. Validate result (Validate ER-1)</t>
  </si>
  <si>
    <t>Post code : 13000</t>
  </si>
  <si>
    <t>1. Should accept entered post code</t>
  </si>
  <si>
    <t>TC_SC_024</t>
  </si>
  <si>
    <t>Validate 'Post Code' data - invalid (not usable in any format)</t>
  </si>
  <si>
    <t>Post code : abcdefg</t>
  </si>
  <si>
    <t>1. Should show error message 'Please input valid post code'</t>
  </si>
  <si>
    <t>TC_SC_025</t>
  </si>
  <si>
    <t>Validate 'Post Code' data - invalid (usable in other region but not selected one)</t>
  </si>
  <si>
    <t>Post code : A1A</t>
  </si>
  <si>
    <t>TC_SC_026</t>
  </si>
  <si>
    <t>Validate estimate &amp; shipping taxes calculation</t>
  </si>
  <si>
    <t>1. Select country,region/state,postcode -&lt;Refer test data&gt;
2. Click 'Get Quotes' button
3. Validate result (Validate ER-1)</t>
  </si>
  <si>
    <t>Country : Thailand,
Region/State : Bangkok,
Post code : 10230</t>
  </si>
  <si>
    <t>1. Show calculated shipping fee &amp; method available</t>
  </si>
  <si>
    <t>TC_SC_027</t>
  </si>
  <si>
    <t>Validate shipping method selection</t>
  </si>
  <si>
    <t>Open application,
Added product to the cart,
Open shopping cart page,
Open estimate &amp; shipping taxes tab,
calculated shipping location</t>
  </si>
  <si>
    <t>1. Select shipping method -&lt;Refer test data&gt;
2. Click 'Apply Shipping' button</t>
  </si>
  <si>
    <t>Flat Shipping Rate - $5.00</t>
  </si>
  <si>
    <t>1. Shipping fee should appear and calculated in price calculation</t>
  </si>
  <si>
    <t>TC_SC_028</t>
  </si>
  <si>
    <t>Validate use gift certificate shown</t>
  </si>
  <si>
    <t>1. Click on 'Use Gift Certificate' 
2. Validate result (Validate ER-1)</t>
  </si>
  <si>
    <t>1. gift certificate input tab should appear below 'Use Gift Certificate'</t>
  </si>
  <si>
    <t>TC_SC_029</t>
  </si>
  <si>
    <t>Validate use gift certificate hidden</t>
  </si>
  <si>
    <t>Open application,
Added product to the cart,
Open shopping cart page,
Open gift certificate tab</t>
  </si>
  <si>
    <t>1. gift certificate input tab should disappear</t>
  </si>
  <si>
    <t>TC_SC_030</t>
  </si>
  <si>
    <t>Validate valid gift certificate</t>
  </si>
  <si>
    <t>1. Input gift certificate
2. Validate result (Validate ER-1)</t>
  </si>
  <si>
    <t>MyGift2026</t>
  </si>
  <si>
    <t>1. code accpet and show result (discount / free item ) on shopping cart / calculation tab</t>
  </si>
  <si>
    <t>TC_SC_031</t>
  </si>
  <si>
    <t>Validate invalid gift certificate</t>
  </si>
  <si>
    <t>MyGift 2555,null,A</t>
  </si>
  <si>
    <t>Should show message ' Warning: Gift Certificate is either invalid or the balance has been used up!'</t>
  </si>
  <si>
    <t>TC_SC_032</t>
  </si>
  <si>
    <t>Validate shopping cart page content - detailed price</t>
  </si>
  <si>
    <t>User can confirm the price details on the item which show under the extra option which contain:
Sub-total, Eco Tax, Vat, Total</t>
  </si>
  <si>
    <t>TC_SC_033</t>
  </si>
  <si>
    <t>Validate shopping cart page content - detailed price calculation</t>
  </si>
  <si>
    <t>Result of detailed price should shown correctly</t>
  </si>
  <si>
    <t>TC_SC_034</t>
  </si>
  <si>
    <t>Validate 'Continue Shopping' button</t>
  </si>
  <si>
    <t>1. Click on 'Continue Shopping' button
2. Validate result (Validate ER-1)</t>
  </si>
  <si>
    <t>Should redirect user to home page / all record item should still in cart</t>
  </si>
  <si>
    <t>TC_SC_035</t>
  </si>
  <si>
    <t>Validate 'Checkout' button</t>
  </si>
  <si>
    <t>1. Click on 'Checkout' button
2. Validate result (Validate ER-1)</t>
  </si>
  <si>
    <t>Should redirect user to checkout page</t>
  </si>
  <si>
    <t>TC_ATC_001</t>
  </si>
  <si>
    <t>Add to cart - home page</t>
  </si>
  <si>
    <t>TC_ATC_002</t>
  </si>
  <si>
    <t>Add to cart - main cat</t>
  </si>
  <si>
    <t>TC_ATC_003</t>
  </si>
  <si>
    <t>Add to cart - sub cat</t>
  </si>
  <si>
    <t>TC_ATC_004</t>
  </si>
  <si>
    <t>Add to cart - product comparison</t>
  </si>
  <si>
    <t>TC_ATC_005</t>
  </si>
  <si>
    <t>Add to cart - wish list</t>
  </si>
  <si>
    <t>TC_ATC_006</t>
  </si>
  <si>
    <t>Add to cart - brands</t>
  </si>
  <si>
    <t>TC_ATC_007</t>
  </si>
  <si>
    <t>Add to cart - search result</t>
  </si>
  <si>
    <t>TC_ATC_008</t>
  </si>
  <si>
    <t>Add to cart - display section</t>
  </si>
  <si>
    <t>TC_ATC_009</t>
  </si>
  <si>
    <t>Add to cart - featured</t>
  </si>
  <si>
    <t>TC_ATC_010</t>
  </si>
  <si>
    <t>Add to cart - message</t>
  </si>
  <si>
    <t>TC_WL_001</t>
  </si>
  <si>
    <t>Wish list - home page</t>
  </si>
  <si>
    <t>TC_WL_002</t>
  </si>
  <si>
    <t>Wish list - main cat</t>
  </si>
  <si>
    <t>TC_WL_003</t>
  </si>
  <si>
    <t>Wish list - sub cat</t>
  </si>
  <si>
    <t>TC_WL_004</t>
  </si>
  <si>
    <t>Wish list - product comparison</t>
  </si>
  <si>
    <t>TC_WL_005</t>
  </si>
  <si>
    <t>Wish list - wish list</t>
  </si>
  <si>
    <t>TC_WL_006</t>
  </si>
  <si>
    <t>Wish list - brands</t>
  </si>
  <si>
    <t>TC_WL_007</t>
  </si>
  <si>
    <t>Wish list - search result</t>
  </si>
  <si>
    <t>TC_WL_008</t>
  </si>
  <si>
    <t>Wish list - display section</t>
  </si>
  <si>
    <t>TC_WL_009</t>
  </si>
  <si>
    <t>Wish list - featured</t>
  </si>
  <si>
    <t>TC_WL_010</t>
  </si>
  <si>
    <t>Wish list - message</t>
  </si>
  <si>
    <t>TC_CF_001</t>
  </si>
  <si>
    <t>Change currency to USD</t>
  </si>
  <si>
    <t>Open https://demo.opencart.com/</t>
  </si>
  <si>
    <t>1. Click Currency dropdown on header tab
2. Select prefered currency</t>
  </si>
  <si>
    <t>USD($)</t>
  </si>
  <si>
    <t>The price of the product will change to selected currency</t>
  </si>
  <si>
    <t>TC_CF_002</t>
  </si>
  <si>
    <t>Available currency</t>
  </si>
  <si>
    <t xml:space="preserve">1. Click Currency dropdown on header tab
</t>
  </si>
  <si>
    <t>The available currency will show in dropdown list ($ for USD, € for EUR)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</si>
</sst>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</numFmts>
  <fonts count="29">
    <font>
      <sz val="11"/>
      <color theme="1"/>
      <name val="TH Sarabun PSK"/>
      <charset val="134"/>
      <scheme val="minor"/>
    </font>
    <font>
      <u/>
      <sz val="11"/>
      <color rgb="FF800080"/>
      <name val="TH Sarabun PSK"/>
      <charset val="0"/>
      <scheme val="minor"/>
    </font>
    <font>
      <b/>
      <sz val="11"/>
      <color theme="0"/>
      <name val="TH Sarabun PSK"/>
      <charset val="134"/>
      <scheme val="minor"/>
    </font>
    <font>
      <u/>
      <sz val="14"/>
      <color rgb="FF800080"/>
      <name val="TH Sarabun PSK"/>
      <charset val="0"/>
      <scheme val="minor"/>
    </font>
    <font>
      <sz val="11"/>
      <name val="TH Sarabun PSK"/>
      <charset val="0"/>
      <scheme val="major"/>
    </font>
    <font>
      <sz val="11"/>
      <name val="TH Sarabun PSK"/>
      <charset val="134"/>
      <scheme val="major"/>
    </font>
    <font>
      <sz val="11"/>
      <color theme="1"/>
      <name val="TH Sarabun PSK"/>
      <charset val="134"/>
      <scheme val="major"/>
    </font>
    <font>
      <b/>
      <sz val="11"/>
      <color theme="1"/>
      <name val="TH Sarabun PSK"/>
      <charset val="134"/>
      <scheme val="minor"/>
    </font>
    <font>
      <sz val="11"/>
      <name val="TH Sarabun PSK"/>
      <charset val="134"/>
      <scheme val="minor"/>
    </font>
    <font>
      <b/>
      <sz val="10"/>
      <color theme="0"/>
      <name val="TH Sarabun PSK"/>
      <charset val="134"/>
      <scheme val="minor"/>
    </font>
    <font>
      <sz val="11"/>
      <color theme="0"/>
      <name val="Montserrat"/>
      <charset val="134"/>
    </font>
    <font>
      <b/>
      <sz val="11"/>
      <color theme="0"/>
      <name val="Montserrat"/>
      <charset val="134"/>
    </font>
    <font>
      <u/>
      <sz val="14"/>
      <color rgb="FF0000FF"/>
      <name val="TH Sarabun PSK"/>
      <charset val="0"/>
      <scheme val="minor"/>
    </font>
    <font>
      <sz val="14"/>
      <color rgb="FFFF0000"/>
      <name val="TH Sarabun PSK"/>
      <charset val="0"/>
      <scheme val="minor"/>
    </font>
    <font>
      <b/>
      <sz val="18"/>
      <color theme="3"/>
      <name val="TH Sarabun PSK"/>
      <charset val="134"/>
      <scheme val="minor"/>
    </font>
    <font>
      <i/>
      <sz val="14"/>
      <color rgb="FF7F7F7F"/>
      <name val="TH Sarabun PSK"/>
      <charset val="0"/>
      <scheme val="minor"/>
    </font>
    <font>
      <b/>
      <sz val="15"/>
      <color theme="3"/>
      <name val="TH Sarabun PSK"/>
      <charset val="134"/>
      <scheme val="minor"/>
    </font>
    <font>
      <b/>
      <sz val="14"/>
      <color theme="3"/>
      <name val="TH Sarabun PSK"/>
      <charset val="134"/>
      <scheme val="minor"/>
    </font>
    <font>
      <sz val="14"/>
      <color rgb="FF3F3F76"/>
      <name val="TH Sarabun PSK"/>
      <charset val="0"/>
      <scheme val="minor"/>
    </font>
    <font>
      <b/>
      <sz val="14"/>
      <color rgb="FF3F3F3F"/>
      <name val="TH Sarabun PSK"/>
      <charset val="0"/>
      <scheme val="minor"/>
    </font>
    <font>
      <b/>
      <sz val="14"/>
      <color rgb="FFFA7D00"/>
      <name val="TH Sarabun PSK"/>
      <charset val="0"/>
      <scheme val="minor"/>
    </font>
    <font>
      <b/>
      <sz val="14"/>
      <color rgb="FFFFFFFF"/>
      <name val="TH Sarabun PSK"/>
      <charset val="0"/>
      <scheme val="minor"/>
    </font>
    <font>
      <sz val="14"/>
      <color rgb="FFFA7D00"/>
      <name val="TH Sarabun PSK"/>
      <charset val="0"/>
      <scheme val="minor"/>
    </font>
    <font>
      <b/>
      <sz val="14"/>
      <color theme="1"/>
      <name val="TH Sarabun PSK"/>
      <charset val="0"/>
      <scheme val="minor"/>
    </font>
    <font>
      <sz val="14"/>
      <color rgb="FF006100"/>
      <name val="TH Sarabun PSK"/>
      <charset val="0"/>
      <scheme val="minor"/>
    </font>
    <font>
      <sz val="14"/>
      <color rgb="FF9C0006"/>
      <name val="TH Sarabun PSK"/>
      <charset val="0"/>
      <scheme val="minor"/>
    </font>
    <font>
      <sz val="14"/>
      <color rgb="FF9C6500"/>
      <name val="TH Sarabun PSK"/>
      <charset val="0"/>
      <scheme val="minor"/>
    </font>
    <font>
      <sz val="14"/>
      <color theme="0"/>
      <name val="TH Sarabun PSK"/>
      <charset val="0"/>
      <scheme val="minor"/>
    </font>
    <font>
      <sz val="14"/>
      <color theme="1"/>
      <name val="TH Sarabun PSK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theme="8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10" borderId="7" applyNumberFormat="0" applyAlignment="0" applyProtection="0">
      <alignment vertical="center"/>
    </xf>
    <xf numFmtId="0" fontId="20" fillId="10" borderId="6" applyNumberFormat="0" applyAlignment="0" applyProtection="0">
      <alignment vertical="center"/>
    </xf>
    <xf numFmtId="0" fontId="21" fillId="11" borderId="8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6" applyFont="1" applyAlignment="1">
      <alignment horizontal="left" vertical="center"/>
    </xf>
    <xf numFmtId="0" fontId="0" fillId="0" borderId="0" xfId="0" applyAlignment="1">
      <alignment horizontal="left" vertical="top"/>
    </xf>
    <xf numFmtId="0" fontId="2" fillId="2" borderId="0" xfId="0" applyFont="1" applyFill="1" applyAlignment="1">
      <alignment horizontal="center" vertical="center"/>
    </xf>
    <xf numFmtId="0" fontId="1" fillId="0" borderId="0" xfId="6" applyFont="1" applyAlignment="1">
      <alignment horizontal="center" vertical="center"/>
    </xf>
    <xf numFmtId="0" fontId="1" fillId="0" borderId="0" xfId="6" applyFont="1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/>
    </xf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6" applyFo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 applyAlignment="1">
      <alignment horizontal="left" vertical="center"/>
    </xf>
    <xf numFmtId="0" fontId="0" fillId="0" borderId="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1" xfId="6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1" xfId="0" applyFill="1" applyBorder="1" applyAlignment="1">
      <alignment horizontal="left" vertical="top"/>
    </xf>
    <xf numFmtId="0" fontId="0" fillId="0" borderId="1" xfId="0" applyFill="1" applyBorder="1" applyAlignment="1">
      <alignment horizontal="left" vertical="top" wrapText="1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0" fillId="0" borderId="1" xfId="0" applyNumberFormat="1" applyFont="1" applyBorder="1" applyAlignment="1">
      <alignment horizontal="left" vertical="top" wrapText="1"/>
    </xf>
    <xf numFmtId="0" fontId="3" fillId="0" borderId="0" xfId="6" applyFont="1" applyAlignment="1">
      <alignment vertical="center" wrapText="1"/>
    </xf>
    <xf numFmtId="0" fontId="4" fillId="0" borderId="0" xfId="6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3" fillId="0" borderId="0" xfId="6" applyFont="1" applyAlignment="1">
      <alignment horizontal="left" vertical="center"/>
    </xf>
    <xf numFmtId="0" fontId="7" fillId="0" borderId="0" xfId="0" applyFont="1">
      <alignment vertical="center"/>
    </xf>
    <xf numFmtId="0" fontId="8" fillId="3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8" fillId="0" borderId="1" xfId="0" applyFont="1" applyFill="1" applyBorder="1">
      <alignment vertical="center"/>
    </xf>
    <xf numFmtId="0" fontId="8" fillId="0" borderId="1" xfId="0" applyFont="1" applyFill="1" applyBorder="1" applyAlignment="1">
      <alignment horizontal="left" vertical="center"/>
    </xf>
    <xf numFmtId="0" fontId="8" fillId="0" borderId="1" xfId="0" applyFont="1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0" fillId="5" borderId="1" xfId="0" applyFill="1" applyBorder="1" applyAlignment="1">
      <alignment horizontal="center" vertical="center"/>
    </xf>
    <xf numFmtId="58" fontId="0" fillId="0" borderId="1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58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6" borderId="0" xfId="0" applyFill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0" fillId="6" borderId="0" xfId="0" applyFont="1" applyFill="1">
      <alignment vertical="center"/>
    </xf>
    <xf numFmtId="0" fontId="11" fillId="6" borderId="2" xfId="0" applyFont="1" applyFill="1" applyBorder="1">
      <alignment vertical="center"/>
    </xf>
    <xf numFmtId="0" fontId="11" fillId="6" borderId="1" xfId="0" applyFont="1" applyFill="1" applyBorder="1" applyAlignment="1">
      <alignment horizontal="center" vertical="center" wrapText="1"/>
    </xf>
    <xf numFmtId="0" fontId="10" fillId="6" borderId="0" xfId="0" applyFont="1" applyFill="1" applyBorder="1" applyAlignment="1">
      <alignment horizontal="center" vertical="center" wrapText="1"/>
    </xf>
    <xf numFmtId="0" fontId="11" fillId="6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7" borderId="1" xfId="0" applyFont="1" applyFill="1" applyBorder="1">
      <alignment vertical="center"/>
    </xf>
    <xf numFmtId="58" fontId="2" fillId="7" borderId="1" xfId="0" applyNumberFormat="1" applyFont="1" applyFill="1" applyBorder="1">
      <alignment vertical="center"/>
    </xf>
    <xf numFmtId="0" fontId="0" fillId="0" borderId="1" xfId="0" applyBorder="1" applyAlignment="1" quotePrefix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www.wps.cn/officeDocument/2020/cellImage" Target="cellimag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ai Theme">
  <a:themeElements>
    <a:clrScheme name="Thai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Thai">
      <a:majorFont>
        <a:latin typeface="TH Sarabun PSK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H Sarabun PSK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H Sarabun PSK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H Sarabun PSK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Thai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folders/1nBs25k9jTb06qrV-5fTC75gtPOR6uW4V" TargetMode="External"/><Relationship Id="rId1" Type="http://schemas.openxmlformats.org/officeDocument/2006/relationships/hyperlink" Target="https://demo.opencar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3:D10"/>
  <sheetViews>
    <sheetView workbookViewId="0">
      <selection activeCell="D5" sqref="D5"/>
    </sheetView>
  </sheetViews>
  <sheetFormatPr defaultColWidth="9" defaultRowHeight="14.25" outlineLevelCol="3"/>
  <cols>
    <col min="2" max="2" width="13.5" customWidth="1"/>
    <col min="3" max="3" width="50.875" customWidth="1"/>
    <col min="4" max="4" width="9.375"/>
  </cols>
  <sheetData>
    <row r="3" ht="15" spans="2:4">
      <c r="B3" s="67" t="s">
        <v>0</v>
      </c>
      <c r="C3" s="67" t="s">
        <v>1</v>
      </c>
      <c r="D3" s="68" t="s">
        <v>2</v>
      </c>
    </row>
    <row r="4" ht="15" spans="2:4">
      <c r="B4" s="67">
        <v>1</v>
      </c>
      <c r="C4" s="67" t="s">
        <v>3</v>
      </c>
      <c r="D4" s="69">
        <v>46118</v>
      </c>
    </row>
    <row r="5" ht="15" spans="2:4">
      <c r="B5" s="67">
        <v>2</v>
      </c>
      <c r="C5" s="67" t="s">
        <v>4</v>
      </c>
      <c r="D5" s="69">
        <v>46127</v>
      </c>
    </row>
    <row r="6" ht="15" spans="2:4">
      <c r="B6" s="67"/>
      <c r="C6" s="67"/>
      <c r="D6" s="68"/>
    </row>
    <row r="7" ht="15" spans="2:4">
      <c r="B7" s="67"/>
      <c r="C7" s="67"/>
      <c r="D7" s="68"/>
    </row>
    <row r="8" ht="15" spans="2:4">
      <c r="B8" s="67"/>
      <c r="C8" s="67"/>
      <c r="D8" s="68"/>
    </row>
    <row r="9" ht="15" spans="2:4">
      <c r="B9" s="67"/>
      <c r="C9" s="67"/>
      <c r="D9" s="68"/>
    </row>
    <row r="10" ht="15" spans="2:4">
      <c r="B10" s="67"/>
      <c r="C10" s="67"/>
      <c r="D10" s="68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Q28"/>
  <sheetViews>
    <sheetView workbookViewId="0">
      <selection activeCell="M16" sqref="M16"/>
    </sheetView>
  </sheetViews>
  <sheetFormatPr defaultColWidth="9" defaultRowHeight="14.25"/>
  <cols>
    <col min="13" max="13" width="32.75" customWidth="1"/>
    <col min="14" max="14" width="49.375" customWidth="1"/>
  </cols>
  <sheetData>
    <row r="4" spans="2:17">
      <c r="B4" s="60"/>
      <c r="C4" s="60"/>
      <c r="D4" s="60"/>
      <c r="E4" s="60"/>
      <c r="F4" s="60"/>
      <c r="G4" s="60"/>
      <c r="H4" s="60"/>
      <c r="I4" s="60"/>
      <c r="J4" s="60"/>
      <c r="K4" s="61" t="s">
        <v>5</v>
      </c>
      <c r="L4" s="61"/>
      <c r="M4" s="60"/>
      <c r="N4" s="60"/>
      <c r="O4" s="60"/>
      <c r="P4" s="60"/>
      <c r="Q4" s="60"/>
    </row>
    <row r="5" ht="20.25" spans="2:17">
      <c r="B5" s="62"/>
      <c r="C5" s="62"/>
      <c r="D5" s="62"/>
      <c r="E5" s="62"/>
      <c r="F5" s="62"/>
      <c r="G5" s="62"/>
      <c r="H5" s="62"/>
      <c r="I5" s="62"/>
      <c r="J5" s="62"/>
      <c r="K5" s="61"/>
      <c r="L5" s="61"/>
      <c r="M5" s="63" t="s">
        <v>6</v>
      </c>
      <c r="N5" s="64" t="s">
        <v>7</v>
      </c>
      <c r="O5" s="65"/>
      <c r="P5" s="65"/>
      <c r="Q5" s="65"/>
    </row>
    <row r="6" ht="20.25" spans="2:17">
      <c r="B6" s="62"/>
      <c r="C6" s="62"/>
      <c r="D6" s="62"/>
      <c r="E6" s="62"/>
      <c r="F6" s="62"/>
      <c r="G6" s="62"/>
      <c r="H6" s="62"/>
      <c r="I6" s="62"/>
      <c r="J6" s="62"/>
      <c r="K6" s="61"/>
      <c r="L6" s="61"/>
      <c r="M6" s="63" t="s">
        <v>8</v>
      </c>
      <c r="N6" s="64"/>
      <c r="O6" s="65"/>
      <c r="P6" s="65"/>
      <c r="Q6" s="65"/>
    </row>
    <row r="7" ht="20.25" spans="2:17">
      <c r="B7" s="62"/>
      <c r="C7" s="62"/>
      <c r="D7" s="62"/>
      <c r="E7" s="62"/>
      <c r="F7" s="62"/>
      <c r="G7" s="62"/>
      <c r="H7" s="62"/>
      <c r="I7" s="62"/>
      <c r="J7" s="62"/>
      <c r="K7" s="61"/>
      <c r="L7" s="61"/>
      <c r="M7" s="63" t="s">
        <v>9</v>
      </c>
      <c r="N7" s="64"/>
      <c r="O7" s="65"/>
      <c r="P7" s="65"/>
      <c r="Q7" s="65"/>
    </row>
    <row r="8" ht="20.25" spans="2:17">
      <c r="B8" s="62"/>
      <c r="C8" s="62"/>
      <c r="D8" s="62"/>
      <c r="E8" s="62"/>
      <c r="F8" s="62"/>
      <c r="G8" s="62"/>
      <c r="H8" s="62"/>
      <c r="I8" s="62"/>
      <c r="J8" s="62"/>
      <c r="K8" s="61"/>
      <c r="L8" s="61"/>
      <c r="M8" s="63" t="s">
        <v>10</v>
      </c>
      <c r="N8" s="64"/>
      <c r="O8" s="65"/>
      <c r="P8" s="65"/>
      <c r="Q8" s="65"/>
    </row>
    <row r="9" ht="20.25" spans="2:17">
      <c r="B9" s="62"/>
      <c r="C9" s="62"/>
      <c r="D9" s="62"/>
      <c r="E9" s="62"/>
      <c r="F9" s="62"/>
      <c r="G9" s="62"/>
      <c r="H9" s="62"/>
      <c r="I9" s="62"/>
      <c r="J9" s="62"/>
      <c r="K9" s="61"/>
      <c r="L9" s="61"/>
      <c r="M9" s="63" t="s">
        <v>11</v>
      </c>
      <c r="N9" s="64"/>
      <c r="O9" s="65"/>
      <c r="P9" s="65"/>
      <c r="Q9" s="65"/>
    </row>
    <row r="10" ht="20.25" spans="2:17">
      <c r="B10" s="62"/>
      <c r="C10" s="62"/>
      <c r="D10" s="62"/>
      <c r="E10" s="62"/>
      <c r="F10" s="62"/>
      <c r="G10" s="62"/>
      <c r="H10" s="62"/>
      <c r="I10" s="62"/>
      <c r="J10" s="62"/>
      <c r="K10" s="61" t="s">
        <v>12</v>
      </c>
      <c r="L10" s="61"/>
      <c r="M10" s="66"/>
      <c r="N10" s="66" t="s">
        <v>13</v>
      </c>
      <c r="O10" s="62"/>
      <c r="P10" s="62"/>
      <c r="Q10" s="62"/>
    </row>
    <row r="11" ht="20.25" spans="2:17">
      <c r="B11" s="62"/>
      <c r="C11" s="62"/>
      <c r="D11" s="62"/>
      <c r="E11" s="62"/>
      <c r="F11" s="62"/>
      <c r="G11" s="62"/>
      <c r="H11" s="62"/>
      <c r="I11" s="62"/>
      <c r="J11" s="62"/>
      <c r="K11" s="61"/>
      <c r="L11" s="61"/>
      <c r="M11" s="66"/>
      <c r="N11" s="66" t="s">
        <v>14</v>
      </c>
      <c r="O11" s="62"/>
      <c r="P11" s="62"/>
      <c r="Q11" s="62"/>
    </row>
    <row r="12" ht="20.25" spans="2:17"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 ht="20.25" spans="2:17"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 ht="20.25" spans="2:17"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 ht="20.25" spans="2:17"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 ht="20.25" spans="2:17"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 ht="20.25" spans="2:17"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</row>
    <row r="18" ht="20.25" spans="2:17"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</row>
    <row r="19" ht="20.25" spans="2:17"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</row>
    <row r="20" ht="20.25" spans="2:17"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</row>
    <row r="21" ht="20.25" spans="2:17"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</row>
    <row r="22" ht="20.25" spans="2:17">
      <c r="B22" s="62"/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</row>
    <row r="23" ht="20.25" spans="2:17">
      <c r="B23" s="62"/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</row>
    <row r="24" ht="20.25" spans="2:17"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</row>
    <row r="25" ht="20.25" spans="2:17"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</row>
    <row r="26" ht="20.25" spans="2:17"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</row>
    <row r="27" ht="20.25" spans="2:17"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ht="20.25" spans="2:17"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</row>
  </sheetData>
  <mergeCells count="3">
    <mergeCell ref="N5:N9"/>
    <mergeCell ref="K4:L9"/>
    <mergeCell ref="K10:L1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4:I7"/>
  <sheetViews>
    <sheetView workbookViewId="0">
      <selection activeCell="F12" sqref="F12"/>
    </sheetView>
  </sheetViews>
  <sheetFormatPr defaultColWidth="9" defaultRowHeight="14.25" outlineLevelRow="6"/>
  <cols>
    <col min="2" max="3" width="22.125" customWidth="1"/>
    <col min="4" max="4" width="27.5" customWidth="1"/>
    <col min="5" max="5" width="23.75" customWidth="1"/>
    <col min="6" max="6" width="49" customWidth="1"/>
    <col min="8" max="8" width="13.875" customWidth="1"/>
    <col min="9" max="9" width="19.875" customWidth="1"/>
  </cols>
  <sheetData>
    <row r="4" ht="15" spans="1:9">
      <c r="A4" s="4" t="s">
        <v>15</v>
      </c>
      <c r="B4" s="10" t="s">
        <v>16</v>
      </c>
      <c r="C4" s="10" t="s">
        <v>17</v>
      </c>
      <c r="D4" s="10" t="s">
        <v>18</v>
      </c>
      <c r="E4" s="10" t="s">
        <v>19</v>
      </c>
      <c r="F4" s="10" t="s">
        <v>20</v>
      </c>
      <c r="G4" s="10" t="s">
        <v>21</v>
      </c>
      <c r="H4" s="4" t="s">
        <v>22</v>
      </c>
      <c r="I4" s="10" t="s">
        <v>23</v>
      </c>
    </row>
    <row r="5" ht="49.65" spans="1:9">
      <c r="A5" s="13" t="s">
        <v>24</v>
      </c>
      <c r="B5" s="55">
        <f>DATE(2026,4,20)</f>
        <v>46132</v>
      </c>
      <c r="C5" s="13" t="s">
        <v>25</v>
      </c>
      <c r="D5" s="13" t="s">
        <v>26</v>
      </c>
      <c r="E5" s="13" t="s">
        <v>27</v>
      </c>
      <c r="F5" s="13" t="s">
        <v>28</v>
      </c>
      <c r="G5" s="13" t="s">
        <v>29</v>
      </c>
      <c r="H5" s="13" t="s">
        <v>30</v>
      </c>
      <c r="I5" s="13" t="str">
        <f>_xlfn.DISPIMG("ID_DCD6BF44FE934B62BEF4AF54A6DF501A",1)</f>
        <v>=DISPIMG("ID_DCD6BF44FE934B62BEF4AF54A6DF501A",1)</v>
      </c>
    </row>
    <row r="6" ht="85.5" spans="1:9">
      <c r="A6" s="13" t="s">
        <v>31</v>
      </c>
      <c r="B6" s="55">
        <f>DATE(2026,4,20)</f>
        <v>46132</v>
      </c>
      <c r="C6" s="13" t="s">
        <v>32</v>
      </c>
      <c r="D6" s="15" t="s">
        <v>33</v>
      </c>
      <c r="E6" s="13" t="s">
        <v>34</v>
      </c>
      <c r="F6" s="13" t="s">
        <v>35</v>
      </c>
      <c r="G6" s="13" t="s">
        <v>36</v>
      </c>
      <c r="H6" s="13" t="s">
        <v>30</v>
      </c>
      <c r="I6" s="13"/>
    </row>
    <row r="7" ht="42.75" spans="1:9">
      <c r="A7" s="56" t="s">
        <v>37</v>
      </c>
      <c r="B7" s="57">
        <v>46132</v>
      </c>
      <c r="C7" s="56" t="s">
        <v>38</v>
      </c>
      <c r="D7" s="58" t="s">
        <v>39</v>
      </c>
      <c r="E7" s="59" t="s">
        <v>40</v>
      </c>
      <c r="F7" s="59" t="s">
        <v>41</v>
      </c>
      <c r="G7" s="56" t="s">
        <v>36</v>
      </c>
      <c r="H7" s="56" t="s">
        <v>36</v>
      </c>
      <c r="I7" s="5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6:D6"/>
  <sheetViews>
    <sheetView workbookViewId="0">
      <selection activeCell="E30" sqref="E30"/>
    </sheetView>
  </sheetViews>
  <sheetFormatPr defaultColWidth="9" defaultRowHeight="14.25" outlineLevelRow="5" outlineLevelCol="3"/>
  <cols>
    <col min="1" max="1" width="25.125" customWidth="1"/>
    <col min="2" max="2" width="15.625" customWidth="1"/>
    <col min="3" max="3" width="23.875" customWidth="1"/>
    <col min="4" max="4" width="13.625" customWidth="1"/>
    <col min="5" max="5" width="16" customWidth="1"/>
    <col min="7" max="7" width="12.75" customWidth="1"/>
    <col min="8" max="8" width="16.25" customWidth="1"/>
    <col min="9" max="9" width="19" customWidth="1"/>
  </cols>
  <sheetData>
    <row r="6" spans="1:4">
      <c r="A6" s="49" t="s">
        <v>42</v>
      </c>
      <c r="B6" s="49" t="s">
        <v>43</v>
      </c>
      <c r="C6" s="49"/>
      <c r="D6" s="49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J43"/>
  <sheetViews>
    <sheetView topLeftCell="A6" workbookViewId="0">
      <selection activeCell="E22" sqref="E22:E39"/>
    </sheetView>
  </sheetViews>
  <sheetFormatPr defaultColWidth="9" defaultRowHeight="14.25"/>
  <cols>
    <col min="1" max="1" width="18.5" customWidth="1"/>
    <col min="2" max="2" width="9.875" customWidth="1"/>
    <col min="3" max="3" width="69.75" customWidth="1"/>
    <col min="4" max="4" width="14" customWidth="1"/>
    <col min="5" max="5" width="21" style="1" customWidth="1"/>
    <col min="6" max="6" width="10" style="1" customWidth="1"/>
    <col min="7" max="7" width="52" customWidth="1"/>
    <col min="9" max="9" width="69.75" customWidth="1"/>
  </cols>
  <sheetData>
    <row r="1" spans="1:10">
      <c r="A1" t="s">
        <v>44</v>
      </c>
    </row>
    <row r="2" ht="18" spans="1:10">
      <c r="A2" t="s">
        <v>45</v>
      </c>
      <c r="B2" s="45" t="s">
        <v>46</v>
      </c>
      <c r="C2" s="19"/>
      <c r="D2" s="19"/>
      <c r="G2" s="19"/>
      <c r="I2" s="46"/>
      <c r="J2" s="46"/>
    </row>
    <row r="3" ht="18" spans="1:10">
      <c r="A3" t="s">
        <v>47</v>
      </c>
      <c r="B3" s="45" t="s">
        <v>48</v>
      </c>
      <c r="C3" s="19"/>
      <c r="D3" s="19"/>
      <c r="G3" s="19"/>
    </row>
    <row r="4" spans="1:10">
      <c r="B4" t="s">
        <v>49</v>
      </c>
      <c r="D4" t="s">
        <v>50</v>
      </c>
      <c r="E4" s="47" t="s">
        <v>51</v>
      </c>
    </row>
    <row r="5" spans="1:10">
      <c r="E5" s="48" t="s">
        <v>52</v>
      </c>
    </row>
    <row r="6" spans="1:10">
      <c r="E6"/>
    </row>
    <row r="7" spans="1:10">
      <c r="E7"/>
    </row>
    <row r="8" spans="1:10">
      <c r="E8"/>
    </row>
    <row r="9" spans="1:10">
      <c r="A9" s="49" t="s">
        <v>53</v>
      </c>
      <c r="B9" s="49" t="s">
        <v>54</v>
      </c>
      <c r="C9" s="49" t="s">
        <v>55</v>
      </c>
      <c r="D9" s="49" t="s">
        <v>22</v>
      </c>
      <c r="E9" s="49" t="s">
        <v>56</v>
      </c>
      <c r="F9" s="49" t="s">
        <v>57</v>
      </c>
      <c r="G9" s="49" t="s">
        <v>58</v>
      </c>
    </row>
    <row r="10" ht="18" spans="1:10">
      <c r="A10" s="32" t="s">
        <v>59</v>
      </c>
      <c r="B10" s="13" t="s">
        <v>60</v>
      </c>
      <c r="C10" s="24" t="s">
        <v>61</v>
      </c>
      <c r="D10" s="33" t="s">
        <v>62</v>
      </c>
      <c r="E10" s="33">
        <f>COUNTIF('UserAccountAccess&amp;Validation'!B:B,"*TS001*")</f>
        <v>21</v>
      </c>
      <c r="F10" s="33">
        <f>COUNTIFS('UserAccountAccess&amp;Validation'!J:J,"defect",'UserAccountAccess&amp;Validation'!B:B,"%TS001%")</f>
        <v>0</v>
      </c>
      <c r="G10" s="13"/>
    </row>
    <row r="11" ht="18" spans="1:10">
      <c r="A11" s="32" t="s">
        <v>63</v>
      </c>
      <c r="B11" s="13" t="s">
        <v>60</v>
      </c>
      <c r="C11" s="24" t="s">
        <v>64</v>
      </c>
      <c r="D11" s="33" t="s">
        <v>62</v>
      </c>
      <c r="E11" s="33">
        <f>COUNTIF('UserAccountAccess&amp;Validation'!B:B,"*TS002*")</f>
        <v>15</v>
      </c>
      <c r="F11" s="33">
        <f>COUNTIFS('UserAccountAccess&amp;Validation'!J:J,"defect",'UserAccountAccess&amp;Validation'!B:B,"%TS002%")</f>
        <v>0</v>
      </c>
      <c r="G11" s="13"/>
    </row>
    <row r="12" spans="1:10">
      <c r="A12" s="13" t="s">
        <v>65</v>
      </c>
      <c r="B12" s="13" t="s">
        <v>60</v>
      </c>
      <c r="C12" s="24" t="s">
        <v>66</v>
      </c>
      <c r="D12" s="33" t="s">
        <v>62</v>
      </c>
      <c r="E12" s="33">
        <f>COUNTIF('UserAccountAccess&amp;Validation'!B:B,"*TS003*")</f>
        <v>1</v>
      </c>
      <c r="F12" s="33">
        <f>COUNTIFS('UserAccountAccess&amp;Validation'!J:J,"defect",'UserAccountAccess&amp;Validation'!B:B,"%TS003%")</f>
        <v>0</v>
      </c>
      <c r="G12" s="13"/>
    </row>
    <row r="13" spans="1:10">
      <c r="A13" s="13" t="s">
        <v>67</v>
      </c>
      <c r="B13" s="13" t="s">
        <v>60</v>
      </c>
      <c r="C13" s="24" t="s">
        <v>68</v>
      </c>
      <c r="D13" s="33" t="s">
        <v>69</v>
      </c>
      <c r="E13" s="33">
        <f>COUNTIF('UserAccountAccess&amp;Validation'!B:B,"*TS004*")</f>
        <v>1</v>
      </c>
      <c r="F13" s="33">
        <f>COUNTIFS('UserAccountAccess&amp;Validation'!J:J,"defect",'UserAccountAccess&amp;Validation'!B:B,"%TS004%")</f>
        <v>0</v>
      </c>
      <c r="G13" s="13"/>
    </row>
    <row r="14" spans="1:10">
      <c r="A14" s="13" t="s">
        <v>70</v>
      </c>
      <c r="B14" s="13" t="s">
        <v>71</v>
      </c>
      <c r="C14" s="24" t="s">
        <v>72</v>
      </c>
      <c r="D14" s="33" t="s">
        <v>73</v>
      </c>
      <c r="E14" s="33">
        <f>COUNTIF(Search!B:B,"*TS005*")</f>
        <v>20</v>
      </c>
      <c r="F14" s="33">
        <f>COUNTIF(Search!J3:J10003,"Defect")</f>
        <v>0</v>
      </c>
      <c r="G14" s="13"/>
    </row>
    <row r="15" spans="1:10">
      <c r="A15" s="13" t="s">
        <v>74</v>
      </c>
      <c r="B15" s="13" t="s">
        <v>71</v>
      </c>
      <c r="C15" s="24" t="s">
        <v>75</v>
      </c>
      <c r="D15" s="33" t="s">
        <v>69</v>
      </c>
      <c r="E15" s="33">
        <f>COUNTIF('Product Comparison'!B:B,"*TS006*")</f>
        <v>11</v>
      </c>
      <c r="F15" s="33">
        <f>COUNTIF('Product Comparison'!J3:J9999,"Defect")</f>
        <v>0</v>
      </c>
      <c r="G15" s="13"/>
    </row>
    <row r="16" ht="18" spans="1:10">
      <c r="A16" s="32" t="s">
        <v>76</v>
      </c>
      <c r="B16" s="13" t="s">
        <v>71</v>
      </c>
      <c r="C16" s="24" t="s">
        <v>77</v>
      </c>
      <c r="D16" s="38" t="s">
        <v>73</v>
      </c>
      <c r="E16" s="38">
        <f>COUNTIF('Product Pages'!B3:B202,"*TS007*")</f>
        <v>30</v>
      </c>
      <c r="F16" s="33">
        <f>COUNTIF('Product Pages'!J3:J9999,"Defect")</f>
        <v>0</v>
      </c>
      <c r="G16" s="13"/>
    </row>
    <row r="17" spans="1:7">
      <c r="A17" s="13" t="s">
        <v>78</v>
      </c>
      <c r="B17" s="13" t="s">
        <v>71</v>
      </c>
      <c r="C17" s="24" t="s">
        <v>79</v>
      </c>
      <c r="D17" s="38" t="s">
        <v>73</v>
      </c>
      <c r="E17" s="38">
        <f>COUNTA(AddToCart!A3:A202)</f>
        <v>9</v>
      </c>
      <c r="F17" s="33">
        <f>COUNTIF(AddToCart!J3:J9999,"Defect")</f>
        <v>0</v>
      </c>
      <c r="G17" s="13"/>
    </row>
    <row r="18" spans="1:7">
      <c r="A18" s="13" t="s">
        <v>80</v>
      </c>
      <c r="B18" s="13" t="s">
        <v>71</v>
      </c>
      <c r="C18" s="24" t="s">
        <v>81</v>
      </c>
      <c r="D18" s="38" t="s">
        <v>82</v>
      </c>
      <c r="E18" s="38">
        <f>COUNTA(WishList!B:B)</f>
        <v>11</v>
      </c>
      <c r="F18" s="33">
        <f>COUNTIF(WishList!J3:J9999,"Defect")</f>
        <v>0</v>
      </c>
      <c r="G18" s="13"/>
    </row>
    <row r="19" spans="1:7">
      <c r="A19" s="13" t="s">
        <v>83</v>
      </c>
      <c r="B19" s="13" t="s">
        <v>71</v>
      </c>
      <c r="C19" s="24" t="s">
        <v>84</v>
      </c>
      <c r="D19" s="38" t="s">
        <v>73</v>
      </c>
      <c r="E19" s="38">
        <f>COUNTA('Shopping Cart page'!A1:A1008)</f>
        <v>36</v>
      </c>
      <c r="F19" s="33">
        <f>COUNTIF('Shopping Cart page'!J3:J9999,"Defect")</f>
        <v>0</v>
      </c>
      <c r="G19" s="13"/>
    </row>
    <row r="20" customFormat="1" spans="1:7">
      <c r="A20" s="13" t="s">
        <v>85</v>
      </c>
      <c r="B20" s="50" t="s">
        <v>71</v>
      </c>
      <c r="C20" s="51" t="s">
        <v>86</v>
      </c>
      <c r="D20" s="52" t="s">
        <v>69</v>
      </c>
      <c r="E20" s="52">
        <f>COUNTA(HomePage!A3:A9998)</f>
        <v>11</v>
      </c>
      <c r="F20" s="33">
        <f>COUNTIF(HomePage!J3:J9999,"Defect")</f>
        <v>0</v>
      </c>
      <c r="G20" s="13"/>
    </row>
    <row r="21" spans="1:7">
      <c r="A21" s="13" t="s">
        <v>87</v>
      </c>
      <c r="B21" s="13" t="s">
        <v>71</v>
      </c>
      <c r="C21" s="24" t="s">
        <v>88</v>
      </c>
      <c r="D21" s="38" t="s">
        <v>73</v>
      </c>
      <c r="E21" s="38">
        <v>0</v>
      </c>
      <c r="F21" s="33">
        <v>1</v>
      </c>
      <c r="G21" s="13" t="s">
        <v>89</v>
      </c>
    </row>
    <row r="22" spans="1:7">
      <c r="A22" s="13" t="s">
        <v>90</v>
      </c>
      <c r="B22" s="13" t="s">
        <v>71</v>
      </c>
      <c r="C22" s="24" t="s">
        <v>91</v>
      </c>
      <c r="D22" s="38" t="s">
        <v>92</v>
      </c>
      <c r="E22" s="38"/>
      <c r="F22" s="33"/>
      <c r="G22" s="13"/>
    </row>
    <row r="23" spans="1:7">
      <c r="A23" s="13" t="s">
        <v>93</v>
      </c>
      <c r="B23" s="13" t="s">
        <v>71</v>
      </c>
      <c r="C23" s="24" t="s">
        <v>94</v>
      </c>
      <c r="D23" s="38" t="s">
        <v>92</v>
      </c>
      <c r="E23" s="38"/>
      <c r="F23" s="33"/>
      <c r="G23" s="13"/>
    </row>
    <row r="24" spans="1:7">
      <c r="A24" s="13" t="s">
        <v>95</v>
      </c>
      <c r="B24" s="13" t="s">
        <v>71</v>
      </c>
      <c r="C24" s="24" t="s">
        <v>96</v>
      </c>
      <c r="D24" s="38" t="s">
        <v>92</v>
      </c>
      <c r="E24" s="38"/>
      <c r="F24" s="33"/>
      <c r="G24" s="13"/>
    </row>
    <row r="25" spans="1:7">
      <c r="A25" s="13" t="s">
        <v>97</v>
      </c>
      <c r="B25" s="13" t="s">
        <v>71</v>
      </c>
      <c r="C25" s="24" t="s">
        <v>98</v>
      </c>
      <c r="D25" s="1" t="s">
        <v>92</v>
      </c>
      <c r="E25" s="38"/>
      <c r="F25" s="33"/>
      <c r="G25" s="13"/>
    </row>
    <row r="26" spans="1:7">
      <c r="A26" s="13" t="s">
        <v>99</v>
      </c>
      <c r="B26" s="13" t="s">
        <v>71</v>
      </c>
      <c r="C26" s="24" t="s">
        <v>100</v>
      </c>
      <c r="D26" s="38" t="s">
        <v>92</v>
      </c>
      <c r="E26" s="38"/>
      <c r="F26" s="33"/>
      <c r="G26" s="13"/>
    </row>
    <row r="27" spans="1:7">
      <c r="A27" s="13" t="s">
        <v>101</v>
      </c>
      <c r="B27" s="13" t="s">
        <v>71</v>
      </c>
      <c r="C27" s="24" t="s">
        <v>102</v>
      </c>
      <c r="D27" s="38" t="s">
        <v>92</v>
      </c>
      <c r="E27" s="38"/>
      <c r="F27" s="33"/>
      <c r="G27" s="13"/>
    </row>
    <row r="28" spans="1:7">
      <c r="A28" s="13" t="s">
        <v>103</v>
      </c>
      <c r="B28" s="13" t="s">
        <v>71</v>
      </c>
      <c r="C28" s="24" t="s">
        <v>104</v>
      </c>
      <c r="D28" s="38" t="s">
        <v>92</v>
      </c>
      <c r="E28" s="38"/>
      <c r="F28" s="33"/>
      <c r="G28" s="13"/>
    </row>
    <row r="29" spans="1:7">
      <c r="A29" s="13" t="s">
        <v>105</v>
      </c>
      <c r="B29" s="13" t="s">
        <v>71</v>
      </c>
      <c r="C29" s="24" t="s">
        <v>106</v>
      </c>
      <c r="D29" s="38" t="s">
        <v>92</v>
      </c>
      <c r="E29" s="38"/>
      <c r="F29" s="33"/>
      <c r="G29" s="13"/>
    </row>
    <row r="30" spans="1:7">
      <c r="A30" s="13" t="s">
        <v>107</v>
      </c>
      <c r="B30" s="13" t="s">
        <v>71</v>
      </c>
      <c r="C30" s="24" t="s">
        <v>108</v>
      </c>
      <c r="D30" s="38" t="s">
        <v>92</v>
      </c>
      <c r="E30" s="38"/>
      <c r="F30" s="33"/>
      <c r="G30" s="13"/>
    </row>
    <row r="31" spans="1:7">
      <c r="A31" s="13" t="s">
        <v>109</v>
      </c>
      <c r="B31" s="13" t="s">
        <v>71</v>
      </c>
      <c r="C31" s="24" t="s">
        <v>110</v>
      </c>
      <c r="D31" s="38" t="s">
        <v>92</v>
      </c>
      <c r="E31" s="38"/>
      <c r="F31" s="33"/>
      <c r="G31" s="13"/>
    </row>
    <row r="32" spans="1:7">
      <c r="A32" s="13" t="s">
        <v>111</v>
      </c>
      <c r="B32" s="13" t="s">
        <v>71</v>
      </c>
      <c r="C32" s="24" t="s">
        <v>112</v>
      </c>
      <c r="D32" s="38" t="s">
        <v>92</v>
      </c>
      <c r="E32" s="38"/>
      <c r="F32" s="33"/>
      <c r="G32" s="13"/>
    </row>
    <row r="33" spans="1:7">
      <c r="A33" s="13" t="s">
        <v>113</v>
      </c>
      <c r="B33" s="13" t="s">
        <v>71</v>
      </c>
      <c r="C33" s="24" t="s">
        <v>114</v>
      </c>
      <c r="D33" s="38" t="s">
        <v>92</v>
      </c>
      <c r="E33" s="38"/>
      <c r="F33" s="33"/>
      <c r="G33" s="13"/>
    </row>
    <row r="34" spans="1:7">
      <c r="A34" s="13" t="s">
        <v>115</v>
      </c>
      <c r="B34" s="13" t="s">
        <v>71</v>
      </c>
      <c r="C34" s="50" t="s">
        <v>116</v>
      </c>
      <c r="D34" s="38" t="s">
        <v>82</v>
      </c>
      <c r="E34" s="38"/>
      <c r="F34" s="33"/>
      <c r="G34" s="13"/>
    </row>
    <row r="35" spans="1:7">
      <c r="A35" s="13" t="s">
        <v>117</v>
      </c>
      <c r="B35" s="13" t="s">
        <v>71</v>
      </c>
      <c r="C35" s="50" t="s">
        <v>118</v>
      </c>
      <c r="D35" s="38" t="s">
        <v>82</v>
      </c>
      <c r="E35" s="38"/>
      <c r="F35" s="33"/>
      <c r="G35" s="13"/>
    </row>
    <row r="36" spans="1:7">
      <c r="A36" s="13" t="s">
        <v>119</v>
      </c>
      <c r="B36" s="13" t="s">
        <v>71</v>
      </c>
      <c r="C36" s="50" t="s">
        <v>120</v>
      </c>
      <c r="D36" s="38" t="s">
        <v>82</v>
      </c>
      <c r="E36" s="38"/>
      <c r="F36" s="33"/>
      <c r="G36" s="13"/>
    </row>
    <row r="37" spans="1:7">
      <c r="A37" s="13" t="s">
        <v>121</v>
      </c>
      <c r="B37" s="13" t="s">
        <v>71</v>
      </c>
      <c r="C37" s="50" t="s">
        <v>122</v>
      </c>
      <c r="D37" s="38" t="s">
        <v>82</v>
      </c>
      <c r="E37" s="38"/>
      <c r="F37" s="33"/>
      <c r="G37" s="13"/>
    </row>
    <row r="38" spans="1:7">
      <c r="A38" s="13" t="s">
        <v>123</v>
      </c>
      <c r="B38" s="13" t="s">
        <v>71</v>
      </c>
      <c r="C38" s="24" t="s">
        <v>124</v>
      </c>
      <c r="D38" s="38" t="s">
        <v>82</v>
      </c>
      <c r="E38" s="38"/>
      <c r="F38" s="33"/>
      <c r="G38" s="13"/>
    </row>
    <row r="39" customFormat="1" spans="1:7">
      <c r="A39" s="13" t="s">
        <v>125</v>
      </c>
      <c r="B39" s="24" t="s">
        <v>71</v>
      </c>
      <c r="C39" s="51" t="s">
        <v>126</v>
      </c>
      <c r="D39" s="52" t="s">
        <v>82</v>
      </c>
      <c r="E39" s="52">
        <f>COUNTA(Header!A3:A200)</f>
        <v>19</v>
      </c>
      <c r="F39" s="33">
        <f>COUNTIF(Header!J3:J9999,"Defect")</f>
        <v>0</v>
      </c>
      <c r="G39" s="13"/>
    </row>
    <row r="40" spans="1:7">
      <c r="A40" s="13" t="s">
        <v>127</v>
      </c>
      <c r="B40" s="13" t="s">
        <v>71</v>
      </c>
      <c r="C40" s="24" t="s">
        <v>128</v>
      </c>
      <c r="D40" s="38" t="s">
        <v>82</v>
      </c>
      <c r="E40" s="38">
        <f>COUNTA('Top Menu'!A3:A201)</f>
        <v>5</v>
      </c>
      <c r="F40" s="33">
        <f>COUNTIF('Top Menu'!J3:J9999,"defect")</f>
        <v>0</v>
      </c>
      <c r="G40" s="13"/>
    </row>
    <row r="41" spans="1:7">
      <c r="A41" s="13" t="s">
        <v>129</v>
      </c>
      <c r="B41" s="13" t="s">
        <v>71</v>
      </c>
      <c r="C41" s="24" t="s">
        <v>130</v>
      </c>
      <c r="D41" s="38" t="s">
        <v>82</v>
      </c>
      <c r="E41" s="38">
        <f>COUNTA(Footer!A3:A200)</f>
        <v>16</v>
      </c>
      <c r="F41" s="33">
        <f>COUNTIF(Footer!J3:J9999,"defect")</f>
        <v>0</v>
      </c>
      <c r="G41" s="13"/>
    </row>
    <row r="42" spans="1:7">
      <c r="A42" s="13" t="s">
        <v>131</v>
      </c>
      <c r="B42" s="13" t="s">
        <v>71</v>
      </c>
      <c r="C42" s="24" t="s">
        <v>132</v>
      </c>
      <c r="D42" s="33" t="s">
        <v>69</v>
      </c>
      <c r="E42" s="33">
        <f>COUNTA(Currency!A3:A200)</f>
        <v>2</v>
      </c>
      <c r="F42" s="33">
        <f>COUNTIF(Currency!J3:J9999,"defect")</f>
        <v>0</v>
      </c>
      <c r="G42" s="13"/>
    </row>
    <row r="43" spans="1:7">
      <c r="A43" s="28"/>
      <c r="B43" s="28"/>
      <c r="C43" s="28"/>
      <c r="D43" s="53" t="s">
        <v>133</v>
      </c>
      <c r="E43" s="54">
        <f>SUM(E10:E42)</f>
        <v>208</v>
      </c>
    </row>
  </sheetData>
  <mergeCells count="2">
    <mergeCell ref="B2:G2"/>
    <mergeCell ref="B3:G3"/>
  </mergeCells>
  <dataValidations count="1">
    <dataValidation type="list" allowBlank="1" showInputMessage="1" showErrorMessage="1" sqref="D10:D24 D26:D42">
      <formula1>"P0,P1,P2,P3,P4"</formula1>
    </dataValidation>
  </dataValidations>
  <hyperlinks>
    <hyperlink ref="A10" location="Register!A1" display="TS001"/>
    <hyperlink ref="B2" r:id="rId1" display="https://demo.opencart.com/" tooltip="https://demo.opencart.com/"/>
    <hyperlink ref="A11" location="TS002!A1" display="TS002"/>
    <hyperlink ref="B3" r:id="rId2" display="https://drive.google.com/drive/folders/1nBs25k9jTb06qrV-5fTC75gtPOR6uW4V"/>
    <hyperlink ref="A20" location="HomePage!A1" display="TS011"/>
    <hyperlink ref="A39" location="Header!A1" display="TS030"/>
    <hyperlink ref="A40" location="'Top Menu'!A1" display="TS031"/>
    <hyperlink ref="A16" location="'Product Pages'!A1" display="TS007"/>
  </hyperlink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39"/>
  <sheetViews>
    <sheetView topLeftCell="A13" workbookViewId="0">
      <selection activeCell="K1" sqref="A1:K1"/>
    </sheetView>
  </sheetViews>
  <sheetFormatPr defaultColWidth="9" defaultRowHeight="14.25"/>
  <cols>
    <col min="1" max="1" width="13.125" customWidth="1"/>
    <col min="2" max="2" width="56.625" style="31" customWidth="1"/>
    <col min="3" max="3" width="48.625" customWidth="1"/>
    <col min="4" max="4" width="36.25" customWidth="1"/>
    <col min="5" max="5" width="23.375" customWidth="1"/>
    <col min="6" max="6" width="13.25" customWidth="1"/>
    <col min="7" max="7" width="28.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134</v>
      </c>
      <c r="B1" s="10" t="s">
        <v>135</v>
      </c>
      <c r="C1" s="10" t="s">
        <v>136</v>
      </c>
      <c r="D1" s="4" t="s">
        <v>137</v>
      </c>
      <c r="E1" s="10" t="s">
        <v>138</v>
      </c>
      <c r="F1" s="4" t="s">
        <v>139</v>
      </c>
      <c r="G1" s="10" t="s">
        <v>140</v>
      </c>
      <c r="H1" s="4" t="s">
        <v>20</v>
      </c>
      <c r="I1" s="4" t="s">
        <v>22</v>
      </c>
      <c r="J1" s="4" t="s">
        <v>141</v>
      </c>
      <c r="K1" s="4" t="s">
        <v>142</v>
      </c>
    </row>
    <row r="2" ht="36" spans="1:11">
      <c r="A2" t="s">
        <v>143</v>
      </c>
      <c r="B2" s="41" t="str">
        <f>_xlfn.TEXTJOIN(CHAR(10),,Scenario!A11,Scenario!C11)</f>
        <v>TS002
Validate the working of 'Login' functionality</v>
      </c>
      <c r="C2" s="31" t="s">
        <v>144</v>
      </c>
      <c r="E2" s="31"/>
    </row>
    <row r="3" ht="28.5" spans="1:11">
      <c r="A3" t="s">
        <v>145</v>
      </c>
      <c r="B3" s="42" t="str">
        <f>_xlfn.TEXTJOIN(CHAR(10),,Scenario!A11,Scenario!C11)</f>
        <v>TS002
Validate the working of 'Login' functionality</v>
      </c>
      <c r="C3" t="s">
        <v>146</v>
      </c>
      <c r="D3" s="31"/>
      <c r="E3" s="31"/>
    </row>
    <row r="4" ht="28.5" spans="1:11">
      <c r="A4" t="s">
        <v>147</v>
      </c>
      <c r="B4" s="42" t="str">
        <f>_xlfn.TEXTJOIN(CHAR(10),,Scenario!A11,Scenario!C11)</f>
        <v>TS002
Validate the working of 'Login' functionality</v>
      </c>
      <c r="C4" t="s">
        <v>148</v>
      </c>
      <c r="D4" s="31"/>
      <c r="E4" s="31"/>
    </row>
    <row r="5" ht="28.5" spans="1:11">
      <c r="A5" t="s">
        <v>149</v>
      </c>
      <c r="B5" s="42" t="str">
        <f>_xlfn.TEXTJOIN(CHAR(10),,Scenario!A11,Scenario!C11)</f>
        <v>TS002
Validate the working of 'Login' functionality</v>
      </c>
      <c r="C5" t="s">
        <v>150</v>
      </c>
      <c r="D5" s="31"/>
      <c r="E5" s="31"/>
    </row>
    <row r="6" ht="28.5" spans="1:11">
      <c r="A6" t="s">
        <v>151</v>
      </c>
      <c r="B6" s="42" t="str">
        <f>_xlfn.TEXTJOIN(CHAR(10),,Scenario!A11,Scenario!C11)</f>
        <v>TS002
Validate the working of 'Login' functionality</v>
      </c>
      <c r="C6" t="s">
        <v>152</v>
      </c>
      <c r="D6" s="31"/>
      <c r="E6" s="31"/>
    </row>
    <row r="7" ht="28.5" spans="1:11">
      <c r="A7" t="s">
        <v>153</v>
      </c>
      <c r="B7" s="42" t="str">
        <f>_xlfn.TEXTJOIN(CHAR(10),,Scenario!A11,Scenario!C11)</f>
        <v>TS002
Validate the working of 'Login' functionality</v>
      </c>
      <c r="C7" t="s">
        <v>154</v>
      </c>
    </row>
    <row r="8" ht="28.5" spans="1:11">
      <c r="A8" t="s">
        <v>155</v>
      </c>
      <c r="B8" s="42" t="str">
        <f>_xlfn.TEXTJOIN(CHAR(10),,Scenario!A11,Scenario!C11)</f>
        <v>TS002
Validate the working of 'Login' functionality</v>
      </c>
      <c r="C8" t="s">
        <v>156</v>
      </c>
      <c r="D8" s="31"/>
    </row>
    <row r="9" customFormat="1" ht="28.5" spans="1:11">
      <c r="A9" t="s">
        <v>157</v>
      </c>
      <c r="B9" s="42" t="str">
        <f>_xlfn.TEXTJOIN(CHAR(10),,Scenario!A11,Scenario!C11)</f>
        <v>TS002
Validate the working of 'Login' functionality</v>
      </c>
      <c r="C9" t="s">
        <v>158</v>
      </c>
      <c r="D9" s="31"/>
    </row>
    <row r="10" ht="28.5" spans="1:11">
      <c r="A10" t="s">
        <v>159</v>
      </c>
      <c r="B10" s="43" t="str">
        <f>_xlfn.TEXTJOIN(CHAR(10),,Scenario!A11,Scenario!C11)</f>
        <v>TS002
Validate the working of 'Login' functionality</v>
      </c>
      <c r="C10" t="s">
        <v>160</v>
      </c>
      <c r="D10" s="31"/>
    </row>
    <row r="11" ht="28.5" spans="1:11">
      <c r="A11" t="s">
        <v>161</v>
      </c>
      <c r="B11" s="42" t="str">
        <f>_xlfn.TEXTJOIN(CHAR(10),,Scenario!A11,Scenario!C11)</f>
        <v>TS002
Validate the working of 'Login' functionality</v>
      </c>
      <c r="C11" t="s">
        <v>162</v>
      </c>
      <c r="D11" s="31"/>
    </row>
    <row r="12" ht="28.5" spans="1:11">
      <c r="A12" t="s">
        <v>163</v>
      </c>
      <c r="B12" s="42" t="str">
        <f>_xlfn.TEXTJOIN(CHAR(10),,Scenario!A11,Scenario!C11)</f>
        <v>TS002
Validate the working of 'Login' functionality</v>
      </c>
      <c r="C12" t="s">
        <v>164</v>
      </c>
      <c r="D12" s="31"/>
    </row>
    <row r="13" ht="28.5" spans="1:11">
      <c r="A13" t="s">
        <v>165</v>
      </c>
      <c r="B13" s="42" t="str">
        <f>_xlfn.TEXTJOIN(CHAR(10),,Scenario!A11,Scenario!C11)</f>
        <v>TS002
Validate the working of 'Login' functionality</v>
      </c>
      <c r="C13" t="s">
        <v>166</v>
      </c>
      <c r="D13" s="31"/>
    </row>
    <row r="14" ht="28.5" spans="1:11">
      <c r="A14" t="s">
        <v>167</v>
      </c>
      <c r="B14" s="42" t="str">
        <f>_xlfn.TEXTJOIN(CHAR(10),,Scenario!A11,Scenario!C11)</f>
        <v>TS002
Validate the working of 'Login' functionality</v>
      </c>
      <c r="C14" t="s">
        <v>168</v>
      </c>
      <c r="D14" s="31"/>
    </row>
    <row r="15" ht="28.5" spans="1:11">
      <c r="A15" t="s">
        <v>169</v>
      </c>
      <c r="B15" s="42" t="str">
        <f>_xlfn.TEXTJOIN(CHAR(10),,Scenario!A11,Scenario!C11)</f>
        <v>TS002
Validate the working of 'Login' functionality</v>
      </c>
      <c r="C15" t="s">
        <v>170</v>
      </c>
      <c r="D15" s="31"/>
    </row>
    <row r="16" ht="28.5" spans="1:11">
      <c r="A16" t="s">
        <v>171</v>
      </c>
      <c r="B16" s="42" t="str">
        <f>_xlfn.TEXTJOIN(CHAR(10),,Scenario!A11,Scenario!C11)</f>
        <v>TS002
Validate the working of 'Login' functionality</v>
      </c>
      <c r="C16" t="s">
        <v>172</v>
      </c>
      <c r="D16" s="31"/>
    </row>
    <row r="17" ht="28.5" spans="1:4">
      <c r="A17" t="s">
        <v>173</v>
      </c>
      <c r="B17" s="42" t="str">
        <f>_xlfn.TEXTJOIN(CHAR(10),,Scenario!A10,Scenario!C10)</f>
        <v>TS001
Validate the working of 'Register an account' functionality</v>
      </c>
      <c r="C17" t="s">
        <v>174</v>
      </c>
      <c r="D17" s="31"/>
    </row>
    <row r="18" ht="28.5" spans="1:4">
      <c r="A18" t="s">
        <v>175</v>
      </c>
      <c r="B18" s="42" t="str">
        <f>_xlfn.TEXTJOIN(CHAR(10),,Scenario!A10,Scenario!C10)</f>
        <v>TS001
Validate the working of 'Register an account' functionality</v>
      </c>
      <c r="C18" t="s">
        <v>176</v>
      </c>
      <c r="D18" s="31"/>
    </row>
    <row r="19" ht="28.5" spans="1:4">
      <c r="A19" t="s">
        <v>177</v>
      </c>
      <c r="B19" s="42" t="str">
        <f>_xlfn.TEXTJOIN(CHAR(10),,Scenario!A10,Scenario!C10)</f>
        <v>TS001
Validate the working of 'Register an account' functionality</v>
      </c>
      <c r="C19" t="s">
        <v>178</v>
      </c>
      <c r="D19" s="31"/>
    </row>
    <row r="20" ht="28.5" spans="1:4">
      <c r="A20" t="s">
        <v>179</v>
      </c>
      <c r="B20" s="42" t="str">
        <f>_xlfn.TEXTJOIN(CHAR(10),,Scenario!A10,Scenario!C10)</f>
        <v>TS001
Validate the working of 'Register an account' functionality</v>
      </c>
      <c r="C20" t="s">
        <v>180</v>
      </c>
      <c r="D20" s="31"/>
    </row>
    <row r="21" ht="28.5" spans="1:4">
      <c r="A21" t="s">
        <v>181</v>
      </c>
      <c r="B21" s="42" t="str">
        <f>_xlfn.TEXTJOIN(CHAR(10),,Scenario!A10,Scenario!C10)</f>
        <v>TS001
Validate the working of 'Register an account' functionality</v>
      </c>
      <c r="C21" t="s">
        <v>182</v>
      </c>
      <c r="D21" s="31"/>
    </row>
    <row r="22" ht="28.5" spans="1:4">
      <c r="A22" t="s">
        <v>183</v>
      </c>
      <c r="B22" s="42" t="str">
        <f>_xlfn.TEXTJOIN(CHAR(10),,Scenario!A10,Scenario!C10)</f>
        <v>TS001
Validate the working of 'Register an account' functionality</v>
      </c>
      <c r="C22" t="s">
        <v>184</v>
      </c>
      <c r="D22" s="31"/>
    </row>
    <row r="23" ht="28.5" spans="1:4">
      <c r="A23" t="s">
        <v>185</v>
      </c>
      <c r="B23" s="42" t="str">
        <f>_xlfn.TEXTJOIN(CHAR(10),,Scenario!A10,Scenario!C10)</f>
        <v>TS001
Validate the working of 'Register an account' functionality</v>
      </c>
      <c r="C23" t="s">
        <v>186</v>
      </c>
      <c r="D23" s="31"/>
    </row>
    <row r="24" ht="28.5" spans="1:4">
      <c r="A24" t="s">
        <v>187</v>
      </c>
      <c r="B24" s="43" t="str">
        <f>_xlfn.TEXTJOIN(CHAR(10),,Scenario!A10,Scenario!C10)</f>
        <v>TS001
Validate the working of 'Register an account' functionality</v>
      </c>
      <c r="C24" t="s">
        <v>188</v>
      </c>
      <c r="D24" s="31"/>
    </row>
    <row r="25" ht="28.5" spans="1:4">
      <c r="A25" t="s">
        <v>189</v>
      </c>
      <c r="B25" s="43" t="str">
        <f>_xlfn.TEXTJOIN(CHAR(10),,Scenario!A10,Scenario!C10)</f>
        <v>TS001
Validate the working of 'Register an account' functionality</v>
      </c>
      <c r="C25" t="s">
        <v>190</v>
      </c>
      <c r="D25" s="31"/>
    </row>
    <row r="26" ht="28.5" spans="1:4">
      <c r="A26" t="s">
        <v>191</v>
      </c>
      <c r="B26" s="43" t="str">
        <f>_xlfn.TEXTJOIN(CHAR(10),,Scenario!A10,Scenario!C10)</f>
        <v>TS001
Validate the working of 'Register an account' functionality</v>
      </c>
      <c r="C26" t="s">
        <v>192</v>
      </c>
      <c r="D26" s="31"/>
    </row>
    <row r="27" ht="28.5" spans="1:4">
      <c r="A27" t="s">
        <v>193</v>
      </c>
      <c r="B27" s="43" t="str">
        <f>_xlfn.TEXTJOIN(CHAR(10),,Scenario!A10,Scenario!C10)</f>
        <v>TS001
Validate the working of 'Register an account' functionality</v>
      </c>
      <c r="C27" t="s">
        <v>194</v>
      </c>
      <c r="D27" s="31"/>
    </row>
    <row r="28" ht="28.5" spans="1:4">
      <c r="A28" t="s">
        <v>195</v>
      </c>
      <c r="B28" s="43" t="str">
        <f>_xlfn.TEXTJOIN(CHAR(10),,Scenario!A10,Scenario!C10)</f>
        <v>TS001
Validate the working of 'Register an account' functionality</v>
      </c>
      <c r="C28" t="s">
        <v>186</v>
      </c>
      <c r="D28" s="31"/>
    </row>
    <row r="29" ht="28.5" spans="1:4">
      <c r="A29" t="s">
        <v>196</v>
      </c>
      <c r="B29" s="43" t="str">
        <f>_xlfn.TEXTJOIN(CHAR(10),,Scenario!A10,Scenario!C10)</f>
        <v>TS001
Validate the working of 'Register an account' functionality</v>
      </c>
      <c r="C29" t="s">
        <v>197</v>
      </c>
      <c r="D29" s="31"/>
    </row>
    <row r="30" ht="28.5" spans="1:4">
      <c r="A30" t="s">
        <v>198</v>
      </c>
      <c r="B30" s="43" t="str">
        <f>_xlfn.TEXTJOIN(CHAR(10),,Scenario!A10,Scenario!C10)</f>
        <v>TS001
Validate the working of 'Register an account' functionality</v>
      </c>
      <c r="C30" t="s">
        <v>199</v>
      </c>
      <c r="D30" s="31"/>
    </row>
    <row r="31" ht="28.5" spans="1:4">
      <c r="A31" t="s">
        <v>200</v>
      </c>
      <c r="B31" s="43" t="str">
        <f>_xlfn.TEXTJOIN(CHAR(10),,Scenario!A10,Scenario!C10)</f>
        <v>TS001
Validate the working of 'Register an account' functionality</v>
      </c>
      <c r="C31" t="s">
        <v>201</v>
      </c>
      <c r="D31" s="31"/>
    </row>
    <row r="32" ht="28.5" spans="1:4">
      <c r="A32" t="s">
        <v>202</v>
      </c>
      <c r="B32" s="43" t="str">
        <f>_xlfn.TEXTJOIN(CHAR(10),,Scenario!A10,Scenario!C10)</f>
        <v>TS001
Validate the working of 'Register an account' functionality</v>
      </c>
      <c r="C32" t="s">
        <v>203</v>
      </c>
      <c r="D32" s="31"/>
    </row>
    <row r="33" ht="28.5" spans="1:4">
      <c r="A33" t="s">
        <v>204</v>
      </c>
      <c r="B33" s="43" t="str">
        <f>_xlfn.TEXTJOIN(CHAR(10),,Scenario!A10,Scenario!C10)</f>
        <v>TS001
Validate the working of 'Register an account' functionality</v>
      </c>
      <c r="C33" t="s">
        <v>205</v>
      </c>
      <c r="D33" s="31"/>
    </row>
    <row r="34" ht="28.5" spans="1:4">
      <c r="A34" t="s">
        <v>206</v>
      </c>
      <c r="B34" s="43" t="str">
        <f>_xlfn.TEXTJOIN(CHAR(10),,Scenario!A10,Scenario!C10)</f>
        <v>TS001
Validate the working of 'Register an account' functionality</v>
      </c>
      <c r="C34" t="s">
        <v>207</v>
      </c>
      <c r="D34" s="31"/>
    </row>
    <row r="35" ht="28.5" spans="1:4">
      <c r="A35" t="s">
        <v>208</v>
      </c>
      <c r="B35" s="43" t="str">
        <f>_xlfn.TEXTJOIN(CHAR(10),,Scenario!A10,Scenario!C10)</f>
        <v>TS001
Validate the working of 'Register an account' functionality</v>
      </c>
      <c r="C35" t="s">
        <v>209</v>
      </c>
      <c r="D35" s="31"/>
    </row>
    <row r="36" ht="28.5" spans="1:4">
      <c r="A36" t="s">
        <v>210</v>
      </c>
      <c r="B36" s="43" t="str">
        <f>_xlfn.TEXTJOIN(CHAR(10),,Scenario!A10,Scenario!C10)</f>
        <v>TS001
Validate the working of 'Register an account' functionality</v>
      </c>
      <c r="C36" t="s">
        <v>211</v>
      </c>
      <c r="D36" s="31"/>
    </row>
    <row r="37" ht="28.5" spans="1:4">
      <c r="A37" t="s">
        <v>212</v>
      </c>
      <c r="B37" s="44" t="str">
        <f>_xlfn.TEXTJOIN(CHAR(10),,Scenario!A10,Scenario!C10)</f>
        <v>TS001
Validate the working of 'Register an account' functionality</v>
      </c>
      <c r="C37" t="s">
        <v>213</v>
      </c>
      <c r="D37" s="31"/>
    </row>
    <row r="38" ht="28.5" spans="1:4">
      <c r="A38" t="s">
        <v>214</v>
      </c>
      <c r="B38" s="44" t="str">
        <f>_xlfn.TEXTJOIN(CHAR(10),,Scenario!A12,Scenario!C12)</f>
        <v>TS003
Validate the working of 'Logout' functionality</v>
      </c>
      <c r="C38" t="s">
        <v>215</v>
      </c>
    </row>
    <row r="39" ht="28.5" spans="1:4">
      <c r="A39" t="s">
        <v>216</v>
      </c>
      <c r="B39" s="44" t="str">
        <f>_xlfn.TEXTJOIN(CHAR(10),,Scenario!A13,Scenario!C13)</f>
        <v>TS004
Validate the working of 'Forgot Password' functionality</v>
      </c>
      <c r="C39" t="s">
        <v>217</v>
      </c>
    </row>
  </sheetData>
  <hyperlinks>
    <hyperlink ref="B2" location="Scenario!A1" display="=TEXTJOIN(CHAR(10),,Scenario!A11,Scenario!C11)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21"/>
  <sheetViews>
    <sheetView topLeftCell="A20" workbookViewId="0">
      <selection activeCell="D22" sqref="D22"/>
    </sheetView>
  </sheetViews>
  <sheetFormatPr defaultColWidth="9" defaultRowHeight="14.25"/>
  <cols>
    <col min="1" max="1" width="13.125" style="1" customWidth="1"/>
    <col min="2" max="2" width="52" style="7" customWidth="1"/>
    <col min="3" max="3" width="39.5" customWidth="1"/>
    <col min="4" max="4" width="15.5" customWidth="1"/>
  </cols>
  <sheetData>
    <row r="1" ht="45" spans="1:11">
      <c r="A1" s="4" t="s">
        <v>134</v>
      </c>
      <c r="B1" s="10" t="s">
        <v>135</v>
      </c>
      <c r="C1" s="10" t="s">
        <v>136</v>
      </c>
      <c r="D1" s="4" t="s">
        <v>137</v>
      </c>
      <c r="E1" s="10" t="s">
        <v>138</v>
      </c>
      <c r="F1" s="4" t="s">
        <v>139</v>
      </c>
      <c r="G1" s="10" t="s">
        <v>140</v>
      </c>
      <c r="H1" s="4" t="s">
        <v>20</v>
      </c>
      <c r="I1" s="4" t="s">
        <v>22</v>
      </c>
      <c r="J1" s="4" t="s">
        <v>141</v>
      </c>
      <c r="K1" s="4" t="s">
        <v>142</v>
      </c>
    </row>
    <row r="2" ht="28.5" spans="1:11">
      <c r="A2" s="1" t="s">
        <v>218</v>
      </c>
      <c r="B2" s="7" t="str">
        <f>_xlfn.TEXTJOIN(CHAR(10),,Scenario!A14,Scenario!C14)</f>
        <v>TS005
Validate the working of 'Search' functionality</v>
      </c>
      <c r="C2" t="s">
        <v>219</v>
      </c>
    </row>
    <row r="3" ht="28.5" spans="1:11">
      <c r="A3" s="1" t="s">
        <v>220</v>
      </c>
      <c r="B3" s="7" t="str">
        <f>_xlfn.TEXTJOIN(CHAR(10),,Scenario!A14,Scenario!C14)</f>
        <v>TS005
Validate the working of 'Search' functionality</v>
      </c>
      <c r="C3" t="s">
        <v>221</v>
      </c>
    </row>
    <row r="4" ht="28.5" spans="1:11">
      <c r="A4" s="1" t="s">
        <v>222</v>
      </c>
      <c r="B4" s="7" t="str">
        <f>_xlfn.TEXTJOIN(CHAR(10),,Scenario!A14,Scenario!C14)</f>
        <v>TS005
Validate the working of 'Search' functionality</v>
      </c>
      <c r="C4" t="s">
        <v>223</v>
      </c>
    </row>
    <row r="5" ht="28.5" spans="1:11">
      <c r="A5" s="1" t="s">
        <v>224</v>
      </c>
      <c r="B5" s="7" t="str">
        <f>_xlfn.TEXTJOIN(CHAR(10),,Scenario!A14,Scenario!C14)</f>
        <v>TS005
Validate the working of 'Search' functionality</v>
      </c>
      <c r="C5" t="s">
        <v>225</v>
      </c>
    </row>
    <row r="6" ht="28.5" spans="1:11">
      <c r="A6" s="1" t="s">
        <v>226</v>
      </c>
      <c r="B6" s="7" t="str">
        <f>_xlfn.TEXTJOIN(CHAR(10),,Scenario!A14,Scenario!C14)</f>
        <v>TS005
Validate the working of 'Search' functionality</v>
      </c>
      <c r="C6" t="s">
        <v>227</v>
      </c>
    </row>
    <row r="7" ht="28.5" spans="1:11">
      <c r="A7" s="1" t="s">
        <v>228</v>
      </c>
      <c r="B7" s="7" t="str">
        <f>_xlfn.TEXTJOIN(CHAR(10),,Scenario!A14,Scenario!C14)</f>
        <v>TS005
Validate the working of 'Search' functionality</v>
      </c>
      <c r="C7" t="s">
        <v>229</v>
      </c>
    </row>
    <row r="8" ht="28.5" spans="1:11">
      <c r="A8" s="1" t="s">
        <v>230</v>
      </c>
      <c r="B8" s="7" t="str">
        <f>_xlfn.TEXTJOIN(CHAR(10),,Scenario!A14,Scenario!C14)</f>
        <v>TS005
Validate the working of 'Search' functionality</v>
      </c>
      <c r="C8" t="s">
        <v>231</v>
      </c>
    </row>
    <row r="9" ht="28.5" spans="1:11">
      <c r="A9" s="1" t="s">
        <v>232</v>
      </c>
      <c r="B9" s="7" t="str">
        <f>_xlfn.TEXTJOIN(CHAR(10),,Scenario!A14,Scenario!C14)</f>
        <v>TS005
Validate the working of 'Search' functionality</v>
      </c>
      <c r="C9" t="s">
        <v>233</v>
      </c>
    </row>
    <row r="10" ht="28.5" spans="1:11">
      <c r="A10" s="1" t="s">
        <v>234</v>
      </c>
      <c r="B10" s="7" t="str">
        <f>_xlfn.TEXTJOIN(CHAR(10),,Scenario!A14,Scenario!C14)</f>
        <v>TS005
Validate the working of 'Search' functionality</v>
      </c>
      <c r="C10" t="s">
        <v>235</v>
      </c>
    </row>
    <row r="11" ht="28.5" spans="1:11">
      <c r="A11" s="1" t="s">
        <v>236</v>
      </c>
      <c r="B11" s="7" t="str">
        <f>_xlfn.TEXTJOIN(CHAR(10),,Scenario!A14,Scenario!C14)</f>
        <v>TS005
Validate the working of 'Search' functionality</v>
      </c>
      <c r="C11" t="s">
        <v>237</v>
      </c>
    </row>
    <row r="12" ht="28.5" spans="1:11">
      <c r="A12" s="1" t="s">
        <v>238</v>
      </c>
      <c r="B12" s="7" t="str">
        <f>_xlfn.TEXTJOIN(CHAR(10),,Scenario!A14,Scenario!C14)</f>
        <v>TS005
Validate the working of 'Search' functionality</v>
      </c>
      <c r="C12" t="s">
        <v>239</v>
      </c>
    </row>
    <row r="13" ht="28.5" spans="1:11">
      <c r="A13" s="1" t="s">
        <v>240</v>
      </c>
      <c r="B13" s="7" t="str">
        <f>_xlfn.TEXTJOIN(CHAR(10),,Scenario!A14,Scenario!C14)</f>
        <v>TS005
Validate the working of 'Search' functionality</v>
      </c>
      <c r="C13" t="s">
        <v>241</v>
      </c>
    </row>
    <row r="14" ht="28.5" spans="1:11">
      <c r="A14" s="1" t="s">
        <v>242</v>
      </c>
      <c r="B14" s="7" t="str">
        <f>_xlfn.TEXTJOIN(CHAR(10),,Scenario!A14,Scenario!C14)</f>
        <v>TS005
Validate the working of 'Search' functionality</v>
      </c>
      <c r="C14" t="s">
        <v>243</v>
      </c>
    </row>
    <row r="15" ht="28.5" spans="1:11">
      <c r="A15" s="1" t="s">
        <v>244</v>
      </c>
      <c r="B15" s="7" t="str">
        <f>_xlfn.TEXTJOIN(CHAR(10),,Scenario!A14,Scenario!C14)</f>
        <v>TS005
Validate the working of 'Search' functionality</v>
      </c>
      <c r="C15" t="s">
        <v>245</v>
      </c>
    </row>
    <row r="16" ht="28.5" spans="1:11">
      <c r="A16" s="1" t="s">
        <v>246</v>
      </c>
      <c r="B16" s="7" t="str">
        <f>_xlfn.TEXTJOIN(CHAR(10),,Scenario!A14,Scenario!C14)</f>
        <v>TS005
Validate the working of 'Search' functionality</v>
      </c>
      <c r="C16" t="s">
        <v>247</v>
      </c>
    </row>
    <row r="17" ht="28.5" spans="1:3">
      <c r="A17" s="1" t="s">
        <v>248</v>
      </c>
      <c r="B17" s="7" t="str">
        <f>_xlfn.TEXTJOIN(CHAR(10),,Scenario!A14,Scenario!C14)</f>
        <v>TS005
Validate the working of 'Search' functionality</v>
      </c>
      <c r="C17" t="s">
        <v>249</v>
      </c>
    </row>
    <row r="18" ht="28.5" spans="1:3">
      <c r="A18" s="1" t="s">
        <v>250</v>
      </c>
      <c r="B18" s="7" t="str">
        <f>_xlfn.TEXTJOIN(CHAR(10),,Scenario!A14,Scenario!C14)</f>
        <v>TS005
Validate the working of 'Search' functionality</v>
      </c>
      <c r="C18" t="s">
        <v>251</v>
      </c>
    </row>
    <row r="19" ht="28.5" spans="1:3">
      <c r="A19" s="1" t="s">
        <v>252</v>
      </c>
      <c r="B19" s="7" t="str">
        <f>_xlfn.TEXTJOIN(CHAR(10),,Scenario!A14,Scenario!C14)</f>
        <v>TS005
Validate the working of 'Search' functionality</v>
      </c>
      <c r="C19" t="s">
        <v>253</v>
      </c>
    </row>
    <row r="20" ht="28.5" spans="1:3">
      <c r="A20" s="1" t="s">
        <v>254</v>
      </c>
      <c r="B20" s="7" t="str">
        <f>_xlfn.TEXTJOIN(CHAR(10),,Scenario!A14,Scenario!C14)</f>
        <v>TS005
Validate the working of 'Search' functionality</v>
      </c>
      <c r="C20" t="s">
        <v>255</v>
      </c>
    </row>
    <row r="21" ht="28.5" spans="1:3">
      <c r="A21" s="1" t="s">
        <v>256</v>
      </c>
      <c r="B21" s="7" t="str">
        <f>_xlfn.TEXTJOIN(CHAR(10),,Scenario!A14,Scenario!C14)</f>
        <v>TS005
Validate the working of 'Search' functionality</v>
      </c>
      <c r="C21" t="s">
        <v>257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2"/>
  <sheetViews>
    <sheetView workbookViewId="0">
      <selection activeCell="D22" sqref="D22"/>
    </sheetView>
  </sheetViews>
  <sheetFormatPr defaultColWidth="9" defaultRowHeight="14.25"/>
  <cols>
    <col min="1" max="1" width="15" style="1" customWidth="1"/>
    <col min="2" max="2" width="54.75" style="7" customWidth="1"/>
    <col min="3" max="3" width="26.375" customWidth="1"/>
    <col min="4" max="4" width="17.625" customWidth="1"/>
    <col min="5" max="5" width="14" customWidth="1"/>
    <col min="6" max="6" width="15.875" customWidth="1"/>
    <col min="7" max="7" width="15.12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30" spans="1:11">
      <c r="A1" s="4" t="s">
        <v>134</v>
      </c>
      <c r="B1" s="10" t="s">
        <v>135</v>
      </c>
      <c r="C1" s="10" t="s">
        <v>136</v>
      </c>
      <c r="D1" s="4" t="s">
        <v>137</v>
      </c>
      <c r="E1" s="10" t="s">
        <v>138</v>
      </c>
      <c r="F1" s="4" t="s">
        <v>139</v>
      </c>
      <c r="G1" s="10" t="s">
        <v>140</v>
      </c>
      <c r="H1" s="4" t="s">
        <v>20</v>
      </c>
      <c r="I1" s="4" t="s">
        <v>22</v>
      </c>
      <c r="J1" s="4" t="s">
        <v>141</v>
      </c>
      <c r="K1" s="4" t="s">
        <v>142</v>
      </c>
    </row>
    <row r="2" ht="28.5" spans="1:11">
      <c r="A2" s="1" t="s">
        <v>258</v>
      </c>
      <c r="B2" s="7" t="str">
        <f>_xlfn.TEXTJOIN(CHAR(10),,Scenario!A15,Scenario!C15)</f>
        <v>TS006
Validate the working of 'Product compare' functionality</v>
      </c>
      <c r="C2" t="s">
        <v>259</v>
      </c>
    </row>
    <row r="3" ht="28.5" spans="1:11">
      <c r="A3" s="1" t="s">
        <v>260</v>
      </c>
      <c r="B3" s="7" t="str">
        <f>_xlfn.TEXTJOIN(CHAR(10),,Scenario!A15,Scenario!C15)</f>
        <v>TS006
Validate the working of 'Product compare' functionality</v>
      </c>
      <c r="C3" t="s">
        <v>261</v>
      </c>
    </row>
    <row r="4" ht="28.5" spans="1:11">
      <c r="A4" s="1" t="s">
        <v>262</v>
      </c>
      <c r="B4" s="7" t="str">
        <f>_xlfn.TEXTJOIN(CHAR(10),,Scenario!A15,Scenario!C15)</f>
        <v>TS006
Validate the working of 'Product compare' functionality</v>
      </c>
      <c r="C4" t="s">
        <v>263</v>
      </c>
    </row>
    <row r="5" ht="28.5" spans="1:11">
      <c r="A5" s="1" t="s">
        <v>264</v>
      </c>
      <c r="B5" s="7" t="str">
        <f>_xlfn.TEXTJOIN(CHAR(10),,Scenario!A15,Scenario!C15)</f>
        <v>TS006
Validate the working of 'Product compare' functionality</v>
      </c>
      <c r="C5" t="s">
        <v>265</v>
      </c>
    </row>
    <row r="6" ht="28.5" spans="1:11">
      <c r="A6" s="1" t="s">
        <v>266</v>
      </c>
      <c r="B6" s="7" t="str">
        <f>_xlfn.TEXTJOIN(CHAR(10),,Scenario!A15,Scenario!C15)</f>
        <v>TS006
Validate the working of 'Product compare' functionality</v>
      </c>
      <c r="C6" t="s">
        <v>267</v>
      </c>
    </row>
    <row r="7" ht="28.5" spans="1:11">
      <c r="A7" s="1" t="s">
        <v>268</v>
      </c>
      <c r="B7" s="7" t="str">
        <f>_xlfn.TEXTJOIN(CHAR(10),,Scenario!A15,Scenario!C15)</f>
        <v>TS006
Validate the working of 'Product compare' functionality</v>
      </c>
      <c r="C7" t="s">
        <v>269</v>
      </c>
    </row>
    <row r="8" ht="28.5" spans="1:11">
      <c r="A8" s="1" t="s">
        <v>270</v>
      </c>
      <c r="B8" s="7" t="str">
        <f>_xlfn.TEXTJOIN(CHAR(10),,Scenario!A15,Scenario!C15)</f>
        <v>TS006
Validate the working of 'Product compare' functionality</v>
      </c>
      <c r="C8" t="s">
        <v>271</v>
      </c>
    </row>
    <row r="9" ht="28.5" spans="1:11">
      <c r="A9" s="1" t="s">
        <v>272</v>
      </c>
      <c r="B9" s="7" t="str">
        <f>_xlfn.TEXTJOIN(CHAR(10),,Scenario!A15,Scenario!C15)</f>
        <v>TS006
Validate the working of 'Product compare' functionality</v>
      </c>
    </row>
    <row r="10" ht="28.5" spans="1:11">
      <c r="A10" s="1" t="s">
        <v>273</v>
      </c>
      <c r="B10" s="7" t="str">
        <f>_xlfn.TEXTJOIN(CHAR(10),,Scenario!A15,Scenario!C15)</f>
        <v>TS006
Validate the working of 'Product compare' functionality</v>
      </c>
    </row>
    <row r="11" ht="28.5" spans="1:11">
      <c r="A11" s="1" t="s">
        <v>274</v>
      </c>
      <c r="B11" s="7" t="str">
        <f>_xlfn.TEXTJOIN(CHAR(10),,Scenario!A15,Scenario!C15)</f>
        <v>TS006
Validate the working of 'Product compare' functionality</v>
      </c>
    </row>
    <row r="12" ht="28.5" spans="1:11">
      <c r="A12" s="1" t="s">
        <v>275</v>
      </c>
      <c r="B12" s="7" t="str">
        <f>_xlfn.TEXTJOIN(CHAR(10),,Scenario!A15,Scenario!C15)</f>
        <v>TS006
Validate the working of 'Product compare' functionality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27"/>
  <sheetViews>
    <sheetView topLeftCell="B5" workbookViewId="0">
      <selection activeCell="D22" sqref="D22"/>
    </sheetView>
  </sheetViews>
  <sheetFormatPr defaultColWidth="9" defaultRowHeight="14.25"/>
  <cols>
    <col min="1" max="1" width="18.5666666666667" customWidth="1"/>
    <col min="2" max="2" width="49" style="1" customWidth="1"/>
    <col min="3" max="3" width="44.5" style="8" customWidth="1"/>
    <col min="4" max="4" width="30.875" customWidth="1"/>
    <col min="5" max="5" width="52.375" style="8" customWidth="1"/>
    <col min="6" max="6" width="30.4333333333333" customWidth="1"/>
    <col min="7" max="7" width="73.25" style="8" customWidth="1"/>
    <col min="8" max="8" width="35" customWidth="1"/>
    <col min="9" max="9" width="7.75" customWidth="1"/>
    <col min="10" max="10" width="7.125" customWidth="1"/>
    <col min="11" max="11" width="10.875" customWidth="1"/>
  </cols>
  <sheetData>
    <row r="1" s="1" customFormat="1" ht="15" spans="1:11">
      <c r="A1" s="11" t="s">
        <v>134</v>
      </c>
      <c r="B1" s="11" t="s">
        <v>135</v>
      </c>
      <c r="C1" s="12" t="s">
        <v>136</v>
      </c>
      <c r="D1" s="11" t="s">
        <v>137</v>
      </c>
      <c r="E1" s="12" t="s">
        <v>138</v>
      </c>
      <c r="F1" s="11" t="s">
        <v>139</v>
      </c>
      <c r="G1" s="12" t="s">
        <v>140</v>
      </c>
      <c r="H1" s="11" t="s">
        <v>20</v>
      </c>
      <c r="I1" s="11" t="s">
        <v>22</v>
      </c>
      <c r="J1" s="11" t="s">
        <v>141</v>
      </c>
      <c r="K1" s="11" t="s">
        <v>142</v>
      </c>
    </row>
    <row r="2" customFormat="1" ht="18" spans="1:11">
      <c r="A2" s="20" t="s">
        <v>276</v>
      </c>
      <c r="B2" t="s">
        <v>277</v>
      </c>
      <c r="C2" t="s">
        <v>52</v>
      </c>
    </row>
    <row r="3" ht="142.5" spans="1:11">
      <c r="A3" s="13" t="s">
        <v>278</v>
      </c>
      <c r="B3" s="14" t="str">
        <f>_xlfn.TEXTJOIN(CHAR(10),,Scenario!A20,Scenario!C20)</f>
        <v>TS011
Validate the working of 'Home page' functionality</v>
      </c>
      <c r="C3" s="13" t="s">
        <v>279</v>
      </c>
      <c r="D3" s="34" t="s">
        <v>280</v>
      </c>
      <c r="E3" s="35" t="s">
        <v>281</v>
      </c>
      <c r="F3" s="13" t="s">
        <v>282</v>
      </c>
      <c r="G3" s="35" t="s">
        <v>283</v>
      </c>
      <c r="H3" s="13"/>
      <c r="I3" s="13"/>
      <c r="J3" s="13"/>
      <c r="K3" s="13"/>
    </row>
    <row r="4" ht="71.25" spans="1:11">
      <c r="A4" s="13" t="s">
        <v>284</v>
      </c>
      <c r="B4" s="14" t="str">
        <f>_xlfn.TEXTJOIN(CHAR(10),,Scenario!A20,Scenario!C20)</f>
        <v>TS011
Validate the working of 'Home page' functionality</v>
      </c>
      <c r="C4" s="13" t="s">
        <v>285</v>
      </c>
      <c r="D4" s="34" t="s">
        <v>280</v>
      </c>
      <c r="E4" s="15" t="s">
        <v>286</v>
      </c>
      <c r="F4" s="13" t="s">
        <v>287</v>
      </c>
      <c r="G4" s="35" t="s">
        <v>288</v>
      </c>
      <c r="H4" s="13"/>
      <c r="I4" s="13"/>
      <c r="J4" s="13"/>
      <c r="K4" s="13"/>
    </row>
    <row r="5" ht="42.75" spans="1:11">
      <c r="A5" s="13" t="s">
        <v>289</v>
      </c>
      <c r="B5" s="14" t="str">
        <f>_xlfn.TEXTJOIN(CHAR(10),,Scenario!A20,Scenario!C20)</f>
        <v>TS011
Validate the working of 'Home page' functionality</v>
      </c>
      <c r="C5" s="15" t="s">
        <v>290</v>
      </c>
      <c r="D5" s="34" t="s">
        <v>280</v>
      </c>
      <c r="E5" s="15" t="s">
        <v>291</v>
      </c>
      <c r="F5" s="13" t="s">
        <v>282</v>
      </c>
      <c r="G5" s="35" t="s">
        <v>292</v>
      </c>
      <c r="H5" s="13"/>
      <c r="I5" s="13"/>
      <c r="J5" s="13"/>
      <c r="K5" s="13"/>
    </row>
    <row r="6" ht="28.5" spans="1:11">
      <c r="A6" s="13" t="s">
        <v>293</v>
      </c>
      <c r="B6" s="14" t="str">
        <f>_xlfn.TEXTJOIN(CHAR(10),,Scenario!A20,Scenario!C20)</f>
        <v>TS011
Validate the working of 'Home page' functionality</v>
      </c>
      <c r="C6" s="13" t="s">
        <v>294</v>
      </c>
      <c r="D6" s="34" t="s">
        <v>280</v>
      </c>
      <c r="E6" s="13" t="s">
        <v>295</v>
      </c>
      <c r="F6" s="13" t="s">
        <v>282</v>
      </c>
      <c r="G6" s="34" t="s">
        <v>296</v>
      </c>
      <c r="H6" s="13"/>
      <c r="I6" s="13"/>
      <c r="J6" s="13"/>
      <c r="K6" s="13"/>
    </row>
    <row r="7" ht="28.5" spans="1:11">
      <c r="A7" s="13" t="s">
        <v>297</v>
      </c>
      <c r="B7" s="14" t="str">
        <f>_xlfn.TEXTJOIN(CHAR(10),,Scenario!A20,Scenario!C20)</f>
        <v>TS011
Validate the working of 'Home page' functionality</v>
      </c>
      <c r="C7" s="13" t="s">
        <v>298</v>
      </c>
      <c r="D7" s="34" t="s">
        <v>280</v>
      </c>
      <c r="E7" s="15" t="s">
        <v>299</v>
      </c>
      <c r="F7" s="13" t="s">
        <v>282</v>
      </c>
      <c r="G7" s="34" t="s">
        <v>300</v>
      </c>
      <c r="H7" s="13"/>
      <c r="I7" s="13"/>
      <c r="J7" s="13"/>
      <c r="K7" s="13"/>
    </row>
    <row r="8" ht="28.5" spans="1:11">
      <c r="A8" s="13" t="s">
        <v>301</v>
      </c>
      <c r="B8" s="14" t="str">
        <f>_xlfn.TEXTJOIN(CHAR(10),,Scenario!A20,Scenario!C20)</f>
        <v>TS011
Validate the working of 'Home page' functionality</v>
      </c>
      <c r="C8" s="13" t="s">
        <v>302</v>
      </c>
      <c r="D8" s="34" t="s">
        <v>280</v>
      </c>
      <c r="E8" s="15" t="s">
        <v>303</v>
      </c>
      <c r="F8" s="13" t="s">
        <v>282</v>
      </c>
      <c r="G8" s="35" t="s">
        <v>304</v>
      </c>
      <c r="H8" s="13"/>
      <c r="I8" s="13"/>
      <c r="J8" s="13"/>
      <c r="K8" s="13"/>
    </row>
    <row r="9" ht="28.5" spans="1:11">
      <c r="A9" s="13" t="s">
        <v>305</v>
      </c>
      <c r="B9" s="14" t="str">
        <f>_xlfn.TEXTJOIN(CHAR(10),,Scenario!A20,Scenario!C20)</f>
        <v>TS011
Validate the working of 'Home page' functionality</v>
      </c>
      <c r="C9" s="13" t="s">
        <v>306</v>
      </c>
      <c r="D9" s="34" t="s">
        <v>280</v>
      </c>
      <c r="E9" s="15" t="s">
        <v>307</v>
      </c>
      <c r="F9" s="13" t="s">
        <v>308</v>
      </c>
      <c r="G9" s="34" t="s">
        <v>309</v>
      </c>
      <c r="H9" s="13"/>
      <c r="I9" s="13"/>
      <c r="J9" s="13"/>
      <c r="K9" s="13"/>
    </row>
    <row r="10" ht="114" spans="1:11">
      <c r="A10" s="13" t="s">
        <v>310</v>
      </c>
      <c r="B10" s="14" t="str">
        <f>_xlfn.TEXTJOIN(CHAR(10),,Scenario!A20,Scenario!C20)</f>
        <v>TS011
Validate the working of 'Home page' functionality</v>
      </c>
      <c r="C10" s="13" t="s">
        <v>311</v>
      </c>
      <c r="D10" s="34" t="s">
        <v>280</v>
      </c>
      <c r="E10" s="13" t="s">
        <v>312</v>
      </c>
      <c r="F10" s="13" t="s">
        <v>282</v>
      </c>
      <c r="G10" s="40" t="s">
        <v>313</v>
      </c>
      <c r="H10" s="13"/>
      <c r="I10" s="13"/>
      <c r="J10" s="13"/>
      <c r="K10" s="13"/>
    </row>
    <row r="11" ht="28.5" spans="1:11">
      <c r="A11" s="13" t="s">
        <v>314</v>
      </c>
      <c r="B11" s="14" t="str">
        <f>_xlfn.TEXTJOIN(CHAR(10),,Scenario!A20,Scenario!C20)</f>
        <v>TS011
Validate the working of 'Home page' functionality</v>
      </c>
      <c r="C11" s="13" t="s">
        <v>315</v>
      </c>
      <c r="D11" s="34" t="s">
        <v>280</v>
      </c>
      <c r="E11" s="35" t="s">
        <v>316</v>
      </c>
      <c r="F11" s="13" t="s">
        <v>282</v>
      </c>
      <c r="G11" s="35" t="s">
        <v>317</v>
      </c>
      <c r="H11" s="13"/>
      <c r="I11" s="13"/>
      <c r="J11" s="13"/>
      <c r="K11" s="13"/>
    </row>
    <row r="12" ht="28.5" spans="1:11">
      <c r="A12" s="13" t="s">
        <v>318</v>
      </c>
      <c r="B12" s="14" t="str">
        <f>_xlfn.TEXTJOIN(CHAR(10),,Scenario!A20,Scenario!C20)</f>
        <v>TS011
Validate the working of 'Home page' functionality</v>
      </c>
      <c r="C12" s="35" t="s">
        <v>319</v>
      </c>
      <c r="D12" s="34" t="s">
        <v>280</v>
      </c>
      <c r="E12" s="35" t="s">
        <v>320</v>
      </c>
      <c r="F12" s="13" t="s">
        <v>321</v>
      </c>
      <c r="G12" s="34" t="s">
        <v>309</v>
      </c>
      <c r="H12" s="13"/>
      <c r="I12" s="13"/>
      <c r="J12" s="13"/>
      <c r="K12" s="13"/>
    </row>
    <row r="13" ht="71.25" spans="1:11">
      <c r="A13" s="13" t="s">
        <v>322</v>
      </c>
      <c r="B13" s="14" t="str">
        <f>_xlfn.TEXTJOIN(CHAR(10),,Scenario!A20,Scenario!C20)</f>
        <v>TS011
Validate the working of 'Home page' functionality</v>
      </c>
      <c r="C13" s="35" t="s">
        <v>323</v>
      </c>
      <c r="D13" s="34" t="s">
        <v>280</v>
      </c>
      <c r="E13" s="35" t="s">
        <v>324</v>
      </c>
      <c r="F13" s="13" t="s">
        <v>282</v>
      </c>
      <c r="G13" s="35" t="s">
        <v>325</v>
      </c>
      <c r="H13" s="13"/>
      <c r="I13" s="13"/>
      <c r="J13" s="13"/>
      <c r="K13" s="13"/>
    </row>
    <row r="14" spans="1:11">
      <c r="B14" s="7"/>
      <c r="D14" s="3"/>
    </row>
    <row r="15" spans="1:11">
      <c r="B15" s="7"/>
      <c r="D15" s="3"/>
    </row>
    <row r="16" spans="1:11">
      <c r="B16" s="7"/>
    </row>
    <row r="17" spans="2:2">
      <c r="B17" s="7"/>
    </row>
    <row r="18" spans="2:2">
      <c r="B18" s="7"/>
    </row>
    <row r="19" spans="2:2">
      <c r="B19" s="7"/>
    </row>
    <row r="20" spans="2:2">
      <c r="B20" s="7"/>
    </row>
    <row r="21" spans="2:2">
      <c r="B21" s="7"/>
    </row>
    <row r="22" spans="2:2">
      <c r="B22" s="7"/>
    </row>
    <row r="23" spans="2:2">
      <c r="B23" s="7"/>
    </row>
    <row r="24" spans="2:2">
      <c r="B24" s="7"/>
    </row>
    <row r="25" spans="2:2">
      <c r="B25" s="7"/>
    </row>
    <row r="26" spans="2:2">
      <c r="B26" s="7"/>
    </row>
    <row r="27" spans="2:2">
      <c r="B27" s="7"/>
    </row>
  </sheetData>
  <dataValidations count="1">
    <dataValidation type="list" allowBlank="1" showInputMessage="1" showErrorMessage="1" sqref="C2">
      <formula1>"working,complete"</formula1>
    </dataValidation>
  </dataValidations>
  <hyperlinks>
    <hyperlink ref="A2" location="Scenario!A18" display="&lt;&lt;Test Scenario"/>
  </hyperlink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8"/>
  <sheetViews>
    <sheetView zoomScale="115" zoomScaleNormal="115" topLeftCell="C1" workbookViewId="0">
      <selection activeCell="D22" sqref="D22"/>
    </sheetView>
  </sheetViews>
  <sheetFormatPr defaultColWidth="9" defaultRowHeight="14.25"/>
  <cols>
    <col min="1" max="1" width="13.125" customWidth="1"/>
    <col min="2" max="2" width="30.8833333333333" style="1" customWidth="1"/>
    <col min="3" max="3" width="45.25" customWidth="1"/>
    <col min="4" max="4" width="30.875" customWidth="1"/>
    <col min="5" max="5" width="59.9916666666667" customWidth="1"/>
    <col min="6" max="6" width="18.75" customWidth="1"/>
    <col min="7" max="7" width="66.3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11" t="s">
        <v>134</v>
      </c>
      <c r="B1" s="11" t="s">
        <v>135</v>
      </c>
      <c r="C1" s="12" t="s">
        <v>136</v>
      </c>
      <c r="D1" s="11" t="s">
        <v>137</v>
      </c>
      <c r="E1" s="12" t="s">
        <v>138</v>
      </c>
      <c r="F1" s="11" t="s">
        <v>139</v>
      </c>
      <c r="G1" s="12" t="s">
        <v>140</v>
      </c>
      <c r="H1" s="11" t="s">
        <v>20</v>
      </c>
      <c r="I1" s="11" t="s">
        <v>22</v>
      </c>
      <c r="J1" s="11" t="s">
        <v>141</v>
      </c>
      <c r="K1" s="11" t="s">
        <v>142</v>
      </c>
    </row>
    <row r="2" ht="37" customHeight="1" spans="1:11">
      <c r="A2" s="13"/>
      <c r="B2" s="14"/>
      <c r="C2" s="13" t="s">
        <v>277</v>
      </c>
      <c r="D2" t="s">
        <v>52</v>
      </c>
      <c r="E2" s="35"/>
      <c r="F2" s="13"/>
      <c r="G2" s="15"/>
      <c r="H2" s="13"/>
      <c r="I2" s="13"/>
      <c r="J2" s="13"/>
      <c r="K2" s="13"/>
    </row>
    <row r="3" ht="69" customHeight="1" spans="1:11">
      <c r="A3" s="13" t="s">
        <v>326</v>
      </c>
      <c r="B3" s="14" t="str">
        <f>_xlfn.TEXTJOIN(CHAR(10),,Scenario!A40,Scenario!C40)</f>
        <v>TS031
Validate the working of 'Top Menu' options' functionality</v>
      </c>
      <c r="C3" s="13" t="s">
        <v>327</v>
      </c>
      <c r="D3" s="35" t="s">
        <v>328</v>
      </c>
      <c r="E3" s="35" t="s">
        <v>329</v>
      </c>
      <c r="F3" s="13" t="s">
        <v>282</v>
      </c>
      <c r="G3" s="15" t="s">
        <v>330</v>
      </c>
      <c r="H3" s="13"/>
      <c r="I3" s="13"/>
      <c r="J3" s="13"/>
      <c r="K3" s="13"/>
    </row>
    <row r="4" ht="128.25" spans="1:11">
      <c r="A4" s="13" t="s">
        <v>331</v>
      </c>
      <c r="B4" s="14" t="str">
        <f>_xlfn.TEXTJOIN(CHAR(10),,Scenario!A40,Scenario!C40)</f>
        <v>TS031
Validate the working of 'Top Menu' options' functionality</v>
      </c>
      <c r="C4" s="13" t="s">
        <v>332</v>
      </c>
      <c r="D4" s="34" t="s">
        <v>280</v>
      </c>
      <c r="E4" s="13" t="s">
        <v>333</v>
      </c>
      <c r="F4" s="13" t="s">
        <v>282</v>
      </c>
      <c r="G4" s="15" t="s">
        <v>334</v>
      </c>
      <c r="H4" s="13"/>
      <c r="I4" s="13"/>
      <c r="J4" s="13"/>
      <c r="K4" s="13"/>
    </row>
    <row r="5" ht="42.75" spans="1:11">
      <c r="A5" s="13" t="s">
        <v>335</v>
      </c>
      <c r="B5" s="14" t="str">
        <f>_xlfn.TEXTJOIN(CHAR(10),,Scenario!A40,Scenario!C40)</f>
        <v>TS031
Validate the working of 'Top Menu' options' functionality</v>
      </c>
      <c r="C5" s="13" t="s">
        <v>336</v>
      </c>
      <c r="D5" s="34" t="s">
        <v>280</v>
      </c>
      <c r="E5" s="15" t="s">
        <v>337</v>
      </c>
      <c r="F5" s="13" t="s">
        <v>338</v>
      </c>
      <c r="G5" s="13" t="s">
        <v>339</v>
      </c>
      <c r="H5" s="13"/>
      <c r="I5" s="13"/>
      <c r="J5" s="13"/>
      <c r="K5" s="13"/>
    </row>
    <row r="6" ht="42.75" spans="1:11">
      <c r="A6" s="13" t="s">
        <v>340</v>
      </c>
      <c r="B6" s="14" t="str">
        <f>_xlfn.TEXTJOIN(CHAR(10),,Scenario!A40,Scenario!C40)</f>
        <v>TS031
Validate the working of 'Top Menu' options' functionality</v>
      </c>
      <c r="C6" s="13" t="s">
        <v>341</v>
      </c>
      <c r="D6" s="34" t="s">
        <v>280</v>
      </c>
      <c r="E6" s="15" t="s">
        <v>342</v>
      </c>
      <c r="F6" s="13" t="s">
        <v>343</v>
      </c>
      <c r="G6" s="13" t="s">
        <v>344</v>
      </c>
      <c r="H6" s="13"/>
      <c r="I6" s="13"/>
      <c r="J6" s="13"/>
      <c r="K6" s="13"/>
    </row>
    <row r="7" ht="42.75" spans="1:11">
      <c r="A7" s="13" t="s">
        <v>345</v>
      </c>
      <c r="B7" s="14" t="str">
        <f>_xlfn.TEXTJOIN(CHAR(10),,Scenario!A40,Scenario!C40)</f>
        <v>TS031
Validate the working of 'Top Menu' options' functionality</v>
      </c>
      <c r="C7" s="13" t="s">
        <v>346</v>
      </c>
      <c r="D7" s="35" t="s">
        <v>347</v>
      </c>
      <c r="E7" s="15" t="s">
        <v>348</v>
      </c>
      <c r="F7" s="15" t="s">
        <v>349</v>
      </c>
      <c r="G7" s="13" t="s">
        <v>350</v>
      </c>
      <c r="H7" s="13"/>
      <c r="I7" s="13"/>
      <c r="J7" s="13"/>
      <c r="K7" s="13"/>
    </row>
    <row r="8" spans="1:11">
      <c r="B8"/>
    </row>
    <row r="9" spans="1:11">
      <c r="B9"/>
    </row>
    <row r="10" spans="1:11">
      <c r="B10"/>
    </row>
    <row r="11" spans="1:11">
      <c r="B11"/>
    </row>
    <row r="12" spans="1:11">
      <c r="B12"/>
    </row>
    <row r="13" spans="1:11">
      <c r="B13"/>
    </row>
    <row r="14" spans="1:11">
      <c r="B14"/>
    </row>
    <row r="15" spans="1:11">
      <c r="B15"/>
    </row>
    <row r="16" spans="1:11">
      <c r="B16"/>
    </row>
    <row r="17" spans="2:2">
      <c r="B17"/>
    </row>
    <row r="18" spans="2:2">
      <c r="B18"/>
    </row>
  </sheetData>
  <dataValidations count="1">
    <dataValidation type="list" allowBlank="1" showInputMessage="1" showErrorMessage="1" sqref="D2">
      <formula1>"working,complete"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35"/>
  <sheetViews>
    <sheetView tabSelected="1" zoomScale="70" zoomScaleNormal="70" workbookViewId="0">
      <selection activeCell="J22" sqref="J22"/>
    </sheetView>
  </sheetViews>
  <sheetFormatPr defaultColWidth="9" defaultRowHeight="14.25"/>
  <cols>
    <col min="1" max="1" width="13.125" customWidth="1"/>
    <col min="2" max="2" width="42.625" customWidth="1"/>
    <col min="3" max="3" width="52.25" style="3" customWidth="1"/>
    <col min="4" max="4" width="38.3833333333333" customWidth="1"/>
    <col min="5" max="5" width="53.025" style="3" customWidth="1"/>
    <col min="6" max="6" width="24.875" style="1" customWidth="1"/>
    <col min="7" max="7" width="72.85" style="19" customWidth="1"/>
    <col min="8" max="8" width="19.2916666666667" style="31" customWidth="1"/>
    <col min="9" max="9" width="7.75" customWidth="1"/>
    <col min="10" max="10" width="10.8916666666667" customWidth="1"/>
    <col min="11" max="11" width="41.125" customWidth="1"/>
  </cols>
  <sheetData>
    <row r="1" ht="15" spans="1:11">
      <c r="A1" s="11" t="s">
        <v>134</v>
      </c>
      <c r="B1" s="11" t="s">
        <v>135</v>
      </c>
      <c r="C1" s="12" t="s">
        <v>136</v>
      </c>
      <c r="D1" s="11" t="s">
        <v>137</v>
      </c>
      <c r="E1" s="12" t="s">
        <v>138</v>
      </c>
      <c r="F1" s="11" t="s">
        <v>139</v>
      </c>
      <c r="G1" s="12" t="s">
        <v>140</v>
      </c>
      <c r="H1" s="12" t="s">
        <v>20</v>
      </c>
      <c r="I1" s="11" t="s">
        <v>22</v>
      </c>
      <c r="J1" s="11" t="s">
        <v>141</v>
      </c>
      <c r="K1" s="11" t="s">
        <v>142</v>
      </c>
    </row>
    <row r="2" ht="18" spans="1:11">
      <c r="A2" s="32" t="s">
        <v>135</v>
      </c>
      <c r="B2" s="13"/>
      <c r="C2" t="s">
        <v>277</v>
      </c>
      <c r="D2" t="s">
        <v>52</v>
      </c>
      <c r="E2" s="13"/>
      <c r="F2" s="33"/>
      <c r="G2" s="22"/>
      <c r="H2" s="15"/>
      <c r="I2" s="13"/>
      <c r="J2" s="13"/>
      <c r="K2" s="13"/>
    </row>
    <row r="3" ht="114" spans="1:11">
      <c r="A3" s="13" t="s">
        <v>351</v>
      </c>
      <c r="B3" s="14" t="str">
        <f>_xlfn.TEXTJOIN(CHAR(10),,Scenario!A39,Scenario!C39)</f>
        <v>TS030
Validate the working of 'Header' options' functionality</v>
      </c>
      <c r="C3" s="34" t="s">
        <v>352</v>
      </c>
      <c r="D3" s="35" t="s">
        <v>353</v>
      </c>
      <c r="E3" s="35" t="s">
        <v>354</v>
      </c>
      <c r="F3" s="33" t="s">
        <v>282</v>
      </c>
      <c r="G3" s="23" t="s">
        <v>355</v>
      </c>
      <c r="H3" s="15"/>
      <c r="I3" s="13"/>
      <c r="J3" s="13"/>
      <c r="K3" s="13"/>
    </row>
    <row r="4" ht="28.5" spans="1:11">
      <c r="A4" s="13" t="s">
        <v>356</v>
      </c>
      <c r="B4" s="14" t="str">
        <f>_xlfn.TEXTJOIN(CHAR(10),,Scenario!A39,Scenario!C39)</f>
        <v>TS030
Validate the working of 'Header' options' functionality</v>
      </c>
      <c r="C4" s="34" t="s">
        <v>357</v>
      </c>
      <c r="D4" s="35" t="s">
        <v>353</v>
      </c>
      <c r="E4" s="35" t="s">
        <v>358</v>
      </c>
      <c r="F4" s="33" t="s">
        <v>282</v>
      </c>
      <c r="G4" s="22" t="s">
        <v>359</v>
      </c>
      <c r="H4" s="15"/>
      <c r="I4" s="13"/>
      <c r="J4" s="13"/>
      <c r="K4" s="13"/>
    </row>
    <row r="5" ht="28.5" spans="1:11">
      <c r="A5" s="13" t="s">
        <v>360</v>
      </c>
      <c r="B5" s="14" t="str">
        <f>_xlfn.TEXTJOIN(CHAR(10),,Scenario!A39,Scenario!C39)</f>
        <v>TS030
Validate the working of 'Header' options' functionality</v>
      </c>
      <c r="C5" s="34" t="s">
        <v>361</v>
      </c>
      <c r="D5" s="34" t="s">
        <v>280</v>
      </c>
      <c r="E5" s="35" t="s">
        <v>362</v>
      </c>
      <c r="F5" s="33" t="s">
        <v>282</v>
      </c>
      <c r="G5" s="22" t="s">
        <v>363</v>
      </c>
      <c r="H5" s="15"/>
      <c r="I5" s="13"/>
      <c r="J5" s="13"/>
      <c r="K5" s="13"/>
    </row>
    <row r="6" ht="28.5" spans="1:11">
      <c r="A6" s="13" t="s">
        <v>364</v>
      </c>
      <c r="B6" s="14" t="str">
        <f>_xlfn.TEXTJOIN(CHAR(10),,Scenario!A39,Scenario!C39)</f>
        <v>TS030
Validate the working of 'Header' options' functionality</v>
      </c>
      <c r="C6" s="34" t="s">
        <v>365</v>
      </c>
      <c r="D6" s="34" t="s">
        <v>280</v>
      </c>
      <c r="E6" s="34" t="s">
        <v>366</v>
      </c>
      <c r="F6" s="33" t="s">
        <v>282</v>
      </c>
      <c r="G6" s="22" t="s">
        <v>367</v>
      </c>
      <c r="H6" s="15"/>
      <c r="I6" s="13"/>
      <c r="J6" s="13"/>
      <c r="K6" s="13"/>
    </row>
    <row r="7" ht="28.5" spans="1:11">
      <c r="A7" s="13" t="s">
        <v>368</v>
      </c>
      <c r="B7" s="14" t="str">
        <f>_xlfn.TEXTJOIN(CHAR(10),,Scenario!A39,Scenario!C39)</f>
        <v>TS030
Validate the working of 'Header' options' functionality</v>
      </c>
      <c r="C7" s="34" t="s">
        <v>369</v>
      </c>
      <c r="D7" s="34" t="s">
        <v>280</v>
      </c>
      <c r="E7" s="36" t="s">
        <v>370</v>
      </c>
      <c r="F7" s="33" t="s">
        <v>282</v>
      </c>
      <c r="G7" s="22" t="s">
        <v>371</v>
      </c>
      <c r="H7" s="15"/>
      <c r="I7" s="13"/>
      <c r="J7" s="13"/>
      <c r="K7" s="13"/>
    </row>
    <row r="8" ht="28.5" spans="1:11">
      <c r="A8" s="13" t="s">
        <v>372</v>
      </c>
      <c r="B8" s="25" t="str">
        <f>_xlfn.TEXTJOIN(CHAR(10),,Scenario!A39,Scenario!C39)</f>
        <v>TS030
Validate the working of 'Header' options' functionality</v>
      </c>
      <c r="C8" s="36" t="s">
        <v>373</v>
      </c>
      <c r="D8" s="37" t="s">
        <v>280</v>
      </c>
      <c r="E8" s="36" t="s">
        <v>370</v>
      </c>
      <c r="F8" s="25" t="s">
        <v>282</v>
      </c>
      <c r="G8" s="27" t="s">
        <v>374</v>
      </c>
      <c r="H8" s="26"/>
      <c r="I8" s="24"/>
      <c r="J8" s="24"/>
      <c r="K8" s="26"/>
    </row>
    <row r="9" ht="28.5" spans="1:11">
      <c r="A9" s="13" t="s">
        <v>375</v>
      </c>
      <c r="B9" s="25" t="str">
        <f>_xlfn.TEXTJOIN(CHAR(10),,Scenario!A39,Scenario!C39)</f>
        <v>TS030
Validate the working of 'Header' options' functionality</v>
      </c>
      <c r="C9" s="36" t="s">
        <v>376</v>
      </c>
      <c r="D9" s="37" t="s">
        <v>280</v>
      </c>
      <c r="E9" s="36" t="s">
        <v>370</v>
      </c>
      <c r="F9" s="25" t="s">
        <v>282</v>
      </c>
      <c r="G9" s="27" t="s">
        <v>377</v>
      </c>
      <c r="H9" s="26"/>
      <c r="I9" s="24"/>
      <c r="J9" s="24"/>
      <c r="K9" s="24"/>
    </row>
    <row r="10" ht="28.5" spans="1:11">
      <c r="A10" s="13" t="s">
        <v>378</v>
      </c>
      <c r="B10" s="25" t="str">
        <f>_xlfn.TEXTJOIN(CHAR(10),,Scenario!A39,Scenario!C39)</f>
        <v>TS030
Validate the working of 'Header' options' functionality</v>
      </c>
      <c r="C10" s="36" t="s">
        <v>379</v>
      </c>
      <c r="D10" s="37" t="s">
        <v>280</v>
      </c>
      <c r="E10" s="36" t="s">
        <v>380</v>
      </c>
      <c r="F10" s="25" t="s">
        <v>282</v>
      </c>
      <c r="G10" s="27" t="s">
        <v>381</v>
      </c>
      <c r="H10" s="26"/>
      <c r="I10" s="24"/>
      <c r="J10" s="24"/>
      <c r="K10" s="26"/>
    </row>
    <row r="11" ht="42.75" spans="1:11">
      <c r="A11" s="13" t="s">
        <v>382</v>
      </c>
      <c r="B11" s="25" t="str">
        <f>_xlfn.TEXTJOIN(CHAR(10),,Scenario!A39,Scenario!C39)</f>
        <v>TS030
Validate the working of 'Header' options' functionality</v>
      </c>
      <c r="C11" s="36" t="s">
        <v>383</v>
      </c>
      <c r="D11" s="37" t="s">
        <v>280</v>
      </c>
      <c r="E11" s="37" t="s">
        <v>384</v>
      </c>
      <c r="F11" s="38" t="s">
        <v>385</v>
      </c>
      <c r="G11" s="39" t="s">
        <v>386</v>
      </c>
      <c r="H11" s="26"/>
      <c r="I11" s="24"/>
      <c r="J11" s="24"/>
      <c r="K11" s="26"/>
    </row>
    <row r="12" ht="57" spans="1:11">
      <c r="A12" s="13" t="s">
        <v>387</v>
      </c>
      <c r="B12" s="25" t="str">
        <f>_xlfn.TEXTJOIN(CHAR(10),,Scenario!A39,Scenario!C39)</f>
        <v>TS030
Validate the working of 'Header' options' functionality</v>
      </c>
      <c r="C12" s="36" t="s">
        <v>388</v>
      </c>
      <c r="D12" s="37" t="s">
        <v>389</v>
      </c>
      <c r="E12" s="37" t="s">
        <v>390</v>
      </c>
      <c r="F12" s="38" t="s">
        <v>385</v>
      </c>
      <c r="G12" s="27" t="s">
        <v>391</v>
      </c>
      <c r="H12" s="26"/>
      <c r="I12" s="24"/>
      <c r="J12" s="24"/>
      <c r="K12" s="26"/>
    </row>
    <row r="13" ht="57" spans="1:11">
      <c r="A13" s="13" t="s">
        <v>392</v>
      </c>
      <c r="B13" s="25" t="str">
        <f>_xlfn.TEXTJOIN(CHAR(10),,Scenario!A39,Scenario!C39)</f>
        <v>TS030
Validate the working of 'Header' options' functionality</v>
      </c>
      <c r="C13" s="36" t="s">
        <v>393</v>
      </c>
      <c r="D13" s="37" t="s">
        <v>389</v>
      </c>
      <c r="E13" s="37" t="s">
        <v>394</v>
      </c>
      <c r="F13" s="25" t="s">
        <v>395</v>
      </c>
      <c r="G13" s="27" t="s">
        <v>396</v>
      </c>
      <c r="H13" s="26"/>
      <c r="I13" s="24"/>
      <c r="J13" s="24"/>
      <c r="K13" s="26"/>
    </row>
    <row r="14" ht="57" spans="1:11">
      <c r="A14" s="13" t="s">
        <v>397</v>
      </c>
      <c r="B14" s="25" t="str">
        <f>_xlfn.TEXTJOIN(CHAR(10),,Scenario!A39,Scenario!C39)</f>
        <v>TS030
Validate the working of 'Header' options' functionality</v>
      </c>
      <c r="C14" s="36" t="s">
        <v>398</v>
      </c>
      <c r="D14" s="37" t="s">
        <v>399</v>
      </c>
      <c r="E14" s="37" t="s">
        <v>400</v>
      </c>
      <c r="F14" s="38" t="s">
        <v>321</v>
      </c>
      <c r="G14" s="27" t="s">
        <v>401</v>
      </c>
      <c r="H14" s="26"/>
      <c r="I14" s="24"/>
      <c r="J14" s="24"/>
      <c r="K14" s="26"/>
    </row>
    <row r="15" ht="28.5" spans="1:11">
      <c r="A15" s="13" t="s">
        <v>402</v>
      </c>
      <c r="B15" s="25" t="str">
        <f>_xlfn.TEXTJOIN(CHAR(10),,Scenario!A39,Scenario!C39)</f>
        <v>TS030
Validate the working of 'Header' options' functionality</v>
      </c>
      <c r="C15" s="36" t="s">
        <v>403</v>
      </c>
      <c r="D15" s="37" t="s">
        <v>280</v>
      </c>
      <c r="E15" s="36" t="s">
        <v>404</v>
      </c>
      <c r="F15" s="25" t="s">
        <v>282</v>
      </c>
      <c r="G15" s="27" t="s">
        <v>405</v>
      </c>
      <c r="H15" s="26"/>
      <c r="I15" s="24"/>
      <c r="J15" s="24"/>
      <c r="K15" s="26"/>
    </row>
    <row r="16" ht="28.5" spans="1:11">
      <c r="A16" s="13" t="s">
        <v>406</v>
      </c>
      <c r="B16" s="25" t="str">
        <f>_xlfn.TEXTJOIN(CHAR(10),,Scenario!A39,Scenario!C39)</f>
        <v>TS030
Validate the working of 'Header' options' functionality</v>
      </c>
      <c r="C16" s="36" t="s">
        <v>407</v>
      </c>
      <c r="D16" s="36" t="s">
        <v>280</v>
      </c>
      <c r="E16" s="36" t="s">
        <v>408</v>
      </c>
      <c r="F16" s="25" t="s">
        <v>282</v>
      </c>
      <c r="G16" s="27" t="s">
        <v>409</v>
      </c>
      <c r="H16" s="26"/>
      <c r="I16" s="24"/>
      <c r="J16" s="24"/>
      <c r="K16" s="26"/>
    </row>
    <row r="17" ht="28.5" spans="1:11">
      <c r="A17" s="13" t="s">
        <v>410</v>
      </c>
      <c r="B17" s="25" t="str">
        <f>_xlfn.TEXTJOIN(CHAR(10),,Scenario!A39,Scenario!C39)</f>
        <v>TS030
Validate the working of 'Header' options' functionality</v>
      </c>
      <c r="C17" s="36" t="s">
        <v>411</v>
      </c>
      <c r="D17" s="37" t="s">
        <v>412</v>
      </c>
      <c r="E17" s="36" t="s">
        <v>408</v>
      </c>
      <c r="F17" s="38" t="s">
        <v>282</v>
      </c>
      <c r="G17" s="39" t="s">
        <v>413</v>
      </c>
      <c r="H17" s="26"/>
      <c r="I17" s="24"/>
      <c r="J17" s="24"/>
      <c r="K17" s="26"/>
    </row>
    <row r="18" ht="28.5" spans="1:11">
      <c r="A18" s="13" t="s">
        <v>414</v>
      </c>
      <c r="B18" s="25" t="str">
        <f>_xlfn.TEXTJOIN(CHAR(10),,Scenario!A39,Scenario!C39)</f>
        <v>TS030
Validate the working of 'Header' options' functionality</v>
      </c>
      <c r="C18" s="36" t="s">
        <v>415</v>
      </c>
      <c r="D18" s="36" t="s">
        <v>280</v>
      </c>
      <c r="E18" s="37" t="s">
        <v>416</v>
      </c>
      <c r="F18" s="38" t="s">
        <v>282</v>
      </c>
      <c r="G18" s="27" t="s">
        <v>417</v>
      </c>
      <c r="H18" s="26"/>
      <c r="I18" s="24"/>
      <c r="J18" s="24"/>
      <c r="K18" s="26"/>
    </row>
    <row r="19" s="31" customFormat="1" ht="28.5" spans="1:11">
      <c r="A19" s="13" t="s">
        <v>418</v>
      </c>
      <c r="B19" s="25" t="str">
        <f>_xlfn.TEXTJOIN(CHAR(10),,Scenario!A39,Scenario!C39)</f>
        <v>TS030
Validate the working of 'Header' options' functionality</v>
      </c>
      <c r="C19" s="36" t="s">
        <v>419</v>
      </c>
      <c r="D19" s="37" t="s">
        <v>280</v>
      </c>
      <c r="E19" s="36" t="s">
        <v>420</v>
      </c>
      <c r="F19" s="25" t="s">
        <v>282</v>
      </c>
      <c r="G19" s="27" t="s">
        <v>421</v>
      </c>
      <c r="H19" s="26"/>
      <c r="I19" s="24"/>
      <c r="J19" s="24"/>
      <c r="K19" s="26"/>
    </row>
    <row r="20" s="31" customFormat="1" ht="28.5" spans="1:11">
      <c r="A20" s="13" t="s">
        <v>422</v>
      </c>
      <c r="B20" s="25" t="str">
        <f>_xlfn.TEXTJOIN(CHAR(10),,Scenario!A39,Scenario!C39)</f>
        <v>TS030
Validate the working of 'Header' options' functionality</v>
      </c>
      <c r="C20" s="37" t="s">
        <v>423</v>
      </c>
      <c r="D20" s="37" t="s">
        <v>280</v>
      </c>
      <c r="E20" s="37" t="s">
        <v>424</v>
      </c>
      <c r="F20" s="25" t="s">
        <v>425</v>
      </c>
      <c r="G20" s="39" t="s">
        <v>426</v>
      </c>
      <c r="H20" s="26"/>
      <c r="I20" s="26"/>
      <c r="J20" s="26"/>
      <c r="K20" s="26"/>
    </row>
    <row r="21" customFormat="1" ht="71.25" spans="1:11">
      <c r="A21" s="13" t="s">
        <v>427</v>
      </c>
      <c r="B21" s="25" t="str">
        <f>_xlfn.TEXTJOIN(CHAR(10),,Scenario!A39,Scenario!C39)</f>
        <v>TS030
Validate the working of 'Header' options' functionality</v>
      </c>
      <c r="C21" s="37" t="s">
        <v>428</v>
      </c>
      <c r="D21" s="37" t="s">
        <v>280</v>
      </c>
      <c r="E21" s="37" t="s">
        <v>424</v>
      </c>
      <c r="F21" s="25" t="s">
        <v>429</v>
      </c>
      <c r="G21" s="22" t="s">
        <v>430</v>
      </c>
      <c r="H21" s="15" t="s">
        <v>431</v>
      </c>
      <c r="I21" s="13"/>
      <c r="J21" s="13" t="s">
        <v>432</v>
      </c>
      <c r="K21" s="13"/>
    </row>
    <row r="22" spans="1:11">
      <c r="C22"/>
      <c r="E22"/>
      <c r="F22"/>
      <c r="G22"/>
      <c r="H22"/>
    </row>
    <row r="23" spans="1:11">
      <c r="C23"/>
      <c r="E23"/>
      <c r="F23"/>
      <c r="G23"/>
      <c r="H23"/>
    </row>
    <row r="24" spans="1:11">
      <c r="C24"/>
      <c r="E24"/>
      <c r="F24"/>
      <c r="G24"/>
      <c r="H24"/>
    </row>
    <row r="25" spans="1:11">
      <c r="C25"/>
      <c r="E25"/>
      <c r="F25"/>
      <c r="G25"/>
      <c r="H25"/>
    </row>
    <row r="26" spans="1:11">
      <c r="C26"/>
      <c r="E26"/>
      <c r="F26"/>
      <c r="G26"/>
      <c r="H26"/>
    </row>
    <row r="27" spans="1:11">
      <c r="C27"/>
      <c r="E27"/>
      <c r="F27"/>
      <c r="G27"/>
      <c r="H27"/>
    </row>
    <row r="28" spans="1:11">
      <c r="C28"/>
      <c r="E28"/>
      <c r="F28"/>
      <c r="G28"/>
      <c r="H28"/>
    </row>
    <row r="29" spans="1:11">
      <c r="C29"/>
      <c r="E29"/>
      <c r="F29"/>
      <c r="G29"/>
      <c r="H29"/>
    </row>
    <row r="30" spans="1:11">
      <c r="C30"/>
      <c r="E30"/>
      <c r="F30"/>
      <c r="G30"/>
      <c r="H30"/>
    </row>
    <row r="31" spans="1:11">
      <c r="C31"/>
      <c r="E31"/>
      <c r="F31"/>
      <c r="G31"/>
      <c r="H31"/>
    </row>
    <row r="32" spans="1:11">
      <c r="C32"/>
      <c r="E32"/>
      <c r="F32"/>
      <c r="G32"/>
      <c r="H32"/>
    </row>
    <row r="33" spans="3:8">
      <c r="C33"/>
      <c r="E33"/>
      <c r="F33"/>
      <c r="G33"/>
      <c r="H33"/>
    </row>
    <row r="34" spans="3:8">
      <c r="C34"/>
      <c r="E34"/>
      <c r="F34"/>
      <c r="G34"/>
      <c r="H34"/>
    </row>
    <row r="35" spans="3:8">
      <c r="C35"/>
      <c r="E35"/>
      <c r="F35"/>
      <c r="G35"/>
      <c r="H35"/>
    </row>
  </sheetData>
  <dataValidations count="1">
    <dataValidation type="list" allowBlank="1" showInputMessage="1" showErrorMessage="1" sqref="D2">
      <formula1>"working,complete"</formula1>
    </dataValidation>
  </dataValidations>
  <hyperlinks>
    <hyperlink ref="A2" location="Scenario!A37" display="Test Scenario"/>
  </hyperlink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36"/>
  <sheetViews>
    <sheetView workbookViewId="0">
      <selection activeCell="D22" sqref="D22"/>
    </sheetView>
  </sheetViews>
  <sheetFormatPr defaultColWidth="9" defaultRowHeight="14.25"/>
  <cols>
    <col min="1" max="1" width="13.125" style="28" customWidth="1"/>
    <col min="2" max="2" width="42" style="29" customWidth="1"/>
    <col min="3" max="3" width="32.625" style="28" customWidth="1"/>
    <col min="4" max="4" width="30.875" style="28" customWidth="1"/>
    <col min="5" max="5" width="42.35" style="28" customWidth="1"/>
    <col min="6" max="6" width="15.2916666666667" style="28" customWidth="1"/>
    <col min="7" max="7" width="86.6" style="28" customWidth="1"/>
    <col min="8" max="8" width="13.375" style="28" customWidth="1"/>
    <col min="9" max="9" width="7.75" style="28" customWidth="1"/>
    <col min="10" max="10" width="7.125" style="28" customWidth="1"/>
    <col min="11" max="11" width="10.875" style="28" customWidth="1"/>
    <col min="12" max="16384" width="9" style="28"/>
  </cols>
  <sheetData>
    <row r="1" s="28" customFormat="1" ht="15" spans="1:11">
      <c r="A1" s="11" t="s">
        <v>134</v>
      </c>
      <c r="B1" s="11" t="s">
        <v>135</v>
      </c>
      <c r="C1" s="12" t="s">
        <v>136</v>
      </c>
      <c r="D1" s="11" t="s">
        <v>137</v>
      </c>
      <c r="E1" s="12" t="s">
        <v>138</v>
      </c>
      <c r="F1" s="11" t="s">
        <v>139</v>
      </c>
      <c r="G1" s="12" t="s">
        <v>140</v>
      </c>
      <c r="H1" s="11" t="s">
        <v>20</v>
      </c>
      <c r="I1" s="11" t="s">
        <v>22</v>
      </c>
      <c r="J1" s="11" t="s">
        <v>141</v>
      </c>
      <c r="K1" s="11" t="s">
        <v>142</v>
      </c>
    </row>
    <row r="2" s="28" customFormat="1" spans="1:11">
      <c r="A2" s="22" t="s">
        <v>135</v>
      </c>
      <c r="B2" s="22"/>
      <c r="C2" t="s">
        <v>277</v>
      </c>
      <c r="D2" t="s">
        <v>52</v>
      </c>
      <c r="E2" s="22"/>
      <c r="F2" s="22"/>
      <c r="G2" s="22"/>
      <c r="H2" s="22"/>
      <c r="I2" s="22"/>
      <c r="J2" s="22"/>
      <c r="K2" s="22"/>
    </row>
    <row r="3" s="28" customFormat="1" ht="128.25" spans="1:11">
      <c r="A3" s="13" t="s">
        <v>433</v>
      </c>
      <c r="B3" s="14" t="str">
        <f>_xlfn.TEXTJOIN(CHAR(10),,Scenario!A41,Scenario!C41)</f>
        <v>TS032
Validate the working of 'Footer' options' functionality</v>
      </c>
      <c r="C3" s="13" t="s">
        <v>434</v>
      </c>
      <c r="D3" s="13" t="s">
        <v>435</v>
      </c>
      <c r="E3" s="13" t="s">
        <v>436</v>
      </c>
      <c r="F3" s="13" t="s">
        <v>282</v>
      </c>
      <c r="G3" s="15" t="s">
        <v>437</v>
      </c>
      <c r="H3" s="13"/>
      <c r="I3" s="13"/>
      <c r="J3" s="13"/>
      <c r="K3" s="13"/>
    </row>
    <row r="4" s="28" customFormat="1" ht="28.5" spans="1:11">
      <c r="A4" s="13" t="s">
        <v>438</v>
      </c>
      <c r="B4" s="14" t="str">
        <f>_xlfn.TEXTJOIN(CHAR(10),,Scenario!A41,Scenario!C41)</f>
        <v>TS032
Validate the working of 'Footer' options' functionality</v>
      </c>
      <c r="C4" s="13" t="s">
        <v>439</v>
      </c>
      <c r="D4" s="13" t="s">
        <v>435</v>
      </c>
      <c r="E4" s="15" t="s">
        <v>440</v>
      </c>
      <c r="F4" s="13" t="str">
        <f>SUBSTITUTE(MID(C4,22,30),"'","")</f>
        <v>About Us</v>
      </c>
      <c r="G4" s="13" t="str">
        <f>"Should navigate user to "&amp;MID(C4,22,30)&amp;". A proper text/information should display on this page"</f>
        <v>Should navigate user to 'About Us'. A proper text/information should display on this page</v>
      </c>
      <c r="H4" s="13"/>
      <c r="I4" s="13"/>
      <c r="J4" s="13"/>
      <c r="K4" s="13"/>
    </row>
    <row r="5" s="28" customFormat="1" ht="28.5" spans="1:11">
      <c r="A5" s="13" t="s">
        <v>441</v>
      </c>
      <c r="B5" s="14" t="str">
        <f>_xlfn.TEXTJOIN(CHAR(10),,Scenario!A41,Scenario!C41)</f>
        <v>TS032
Validate the working of 'Footer' options' functionality</v>
      </c>
      <c r="C5" s="13" t="s">
        <v>442</v>
      </c>
      <c r="D5" s="13" t="s">
        <v>435</v>
      </c>
      <c r="E5" s="15" t="s">
        <v>440</v>
      </c>
      <c r="F5" s="13" t="str">
        <f t="shared" ref="F5:F18" si="0">SUBSTITUTE(MID(C5,22,30),"'","")</f>
        <v>Delivery Information</v>
      </c>
      <c r="G5" s="13" t="str">
        <f>"Should navigate user to "&amp;MID(C5,22,30)&amp;". A proper text/information should display on this page"</f>
        <v>Should navigate user to 'Delivery Information'. A proper text/information should display on this page</v>
      </c>
      <c r="H5" s="13"/>
      <c r="I5" s="13"/>
      <c r="J5" s="13"/>
      <c r="K5" s="13"/>
    </row>
    <row r="6" s="28" customFormat="1" ht="28.5" spans="1:11">
      <c r="A6" s="13" t="s">
        <v>443</v>
      </c>
      <c r="B6" s="14" t="str">
        <f>_xlfn.TEXTJOIN(CHAR(10),,Scenario!A41,Scenario!C41)</f>
        <v>TS032
Validate the working of 'Footer' options' functionality</v>
      </c>
      <c r="C6" s="13" t="s">
        <v>444</v>
      </c>
      <c r="D6" s="13" t="s">
        <v>435</v>
      </c>
      <c r="E6" s="15" t="s">
        <v>440</v>
      </c>
      <c r="F6" s="13" t="str">
        <f t="shared" si="0"/>
        <v>Privacy Policy</v>
      </c>
      <c r="G6" s="13" t="str">
        <f>"Should navigate user to "&amp;MID(C6,22,30)&amp;". A proper text/information should display on this page"</f>
        <v>Should navigate user to 'Privacy Policy'. A proper text/information should display on this page</v>
      </c>
      <c r="H6" s="13"/>
      <c r="I6" s="13"/>
      <c r="J6" s="13"/>
      <c r="K6" s="13"/>
    </row>
    <row r="7" s="28" customFormat="1" ht="28.5" spans="1:11">
      <c r="A7" s="13" t="s">
        <v>445</v>
      </c>
      <c r="B7" s="14" t="str">
        <f>_xlfn.TEXTJOIN(CHAR(10),,Scenario!A41,Scenario!C41)</f>
        <v>TS032
Validate the working of 'Footer' options' functionality</v>
      </c>
      <c r="C7" s="13" t="s">
        <v>446</v>
      </c>
      <c r="D7" s="13" t="s">
        <v>435</v>
      </c>
      <c r="E7" s="15" t="s">
        <v>440</v>
      </c>
      <c r="F7" s="13" t="str">
        <f t="shared" si="0"/>
        <v>Term &amp; Conditions</v>
      </c>
      <c r="G7" s="13" t="str">
        <f t="shared" ref="G7:G18" si="1">"Should navigate user to "&amp;MID(C7,22,30)&amp;". A proper text/information should display on this page"</f>
        <v>Should navigate user to 'Term &amp; Conditions'. A proper text/information should display on this page</v>
      </c>
      <c r="H7" s="13"/>
      <c r="I7" s="13"/>
      <c r="J7" s="13"/>
      <c r="K7" s="13"/>
    </row>
    <row r="8" s="28" customFormat="1" ht="28.5" spans="1:11">
      <c r="A8" s="13" t="s">
        <v>447</v>
      </c>
      <c r="B8" s="14" t="str">
        <f>_xlfn.TEXTJOIN(CHAR(10),,Scenario!A41,Scenario!C41)</f>
        <v>TS032
Validate the working of 'Footer' options' functionality</v>
      </c>
      <c r="C8" s="13" t="s">
        <v>448</v>
      </c>
      <c r="D8" s="13" t="s">
        <v>435</v>
      </c>
      <c r="E8" s="15" t="s">
        <v>440</v>
      </c>
      <c r="F8" s="13" t="str">
        <f t="shared" si="0"/>
        <v>Contact Us</v>
      </c>
      <c r="G8" s="13" t="str">
        <f t="shared" si="1"/>
        <v>Should navigate user to 'Contact Us'. A proper text/information should display on this page</v>
      </c>
      <c r="H8" s="13"/>
      <c r="I8" s="13"/>
      <c r="J8" s="13"/>
      <c r="K8" s="13"/>
    </row>
    <row r="9" s="28" customFormat="1" ht="28.5" spans="1:11">
      <c r="A9" s="13" t="s">
        <v>449</v>
      </c>
      <c r="B9" s="14" t="str">
        <f>_xlfn.TEXTJOIN(CHAR(10),,Scenario!A41,Scenario!C41)</f>
        <v>TS032
Validate the working of 'Footer' options' functionality</v>
      </c>
      <c r="C9" s="13" t="s">
        <v>450</v>
      </c>
      <c r="D9" s="13" t="s">
        <v>435</v>
      </c>
      <c r="E9" s="15" t="s">
        <v>440</v>
      </c>
      <c r="F9" s="13" t="str">
        <f t="shared" si="0"/>
        <v> Returns</v>
      </c>
      <c r="G9" s="13" t="str">
        <f t="shared" si="1"/>
        <v>Should navigate user to ' Returns'. A proper text/information should display on this page</v>
      </c>
      <c r="H9" s="13"/>
      <c r="I9" s="13"/>
      <c r="J9" s="13"/>
      <c r="K9" s="13"/>
    </row>
    <row r="10" s="28" customFormat="1" ht="28.5" spans="1:11">
      <c r="A10" s="13" t="s">
        <v>451</v>
      </c>
      <c r="B10" s="14" t="str">
        <f>_xlfn.TEXTJOIN(CHAR(10),,Scenario!A41,Scenario!C41)</f>
        <v>TS032
Validate the working of 'Footer' options' functionality</v>
      </c>
      <c r="C10" s="13" t="s">
        <v>452</v>
      </c>
      <c r="D10" s="13" t="s">
        <v>435</v>
      </c>
      <c r="E10" s="15" t="s">
        <v>440</v>
      </c>
      <c r="F10" s="13" t="str">
        <f t="shared" si="0"/>
        <v>Site Map</v>
      </c>
      <c r="G10" s="13" t="str">
        <f t="shared" si="1"/>
        <v>Should navigate user to 'Site Map'. A proper text/information should display on this page</v>
      </c>
      <c r="H10" s="13"/>
      <c r="I10" s="13"/>
      <c r="J10" s="13"/>
      <c r="K10" s="13"/>
    </row>
    <row r="11" s="28" customFormat="1" ht="28.5" spans="1:11">
      <c r="A11" s="13" t="s">
        <v>453</v>
      </c>
      <c r="B11" s="14" t="str">
        <f>_xlfn.TEXTJOIN(CHAR(10),,Scenario!A41,Scenario!C41)</f>
        <v>TS032
Validate the working of 'Footer' options' functionality</v>
      </c>
      <c r="C11" s="13" t="s">
        <v>454</v>
      </c>
      <c r="D11" s="13" t="s">
        <v>435</v>
      </c>
      <c r="E11" s="15" t="s">
        <v>440</v>
      </c>
      <c r="F11" s="13" t="str">
        <f t="shared" si="0"/>
        <v>Brands</v>
      </c>
      <c r="G11" s="13" t="str">
        <f t="shared" si="1"/>
        <v>Should navigate user to 'Brands'. A proper text/information should display on this page</v>
      </c>
      <c r="H11" s="13"/>
      <c r="I11" s="13"/>
      <c r="J11" s="13"/>
      <c r="K11" s="13"/>
    </row>
    <row r="12" s="28" customFormat="1" ht="28.5" spans="1:11">
      <c r="A12" s="13" t="s">
        <v>455</v>
      </c>
      <c r="B12" s="14" t="str">
        <f>_xlfn.TEXTJOIN(CHAR(10),,Scenario!A41,Scenario!C41)</f>
        <v>TS032
Validate the working of 'Footer' options' functionality</v>
      </c>
      <c r="C12" s="13" t="s">
        <v>456</v>
      </c>
      <c r="D12" s="13" t="s">
        <v>435</v>
      </c>
      <c r="E12" s="15" t="s">
        <v>440</v>
      </c>
      <c r="F12" s="13" t="str">
        <f t="shared" si="0"/>
        <v>Gift Voucher</v>
      </c>
      <c r="G12" s="13" t="str">
        <f t="shared" si="1"/>
        <v>Should navigate user to 'Gift Voucher'. A proper text/information should display on this page</v>
      </c>
      <c r="H12" s="13"/>
      <c r="I12" s="13"/>
      <c r="J12" s="13"/>
      <c r="K12" s="13"/>
    </row>
    <row r="13" s="28" customFormat="1" ht="28.5" spans="1:11">
      <c r="A13" s="13" t="s">
        <v>457</v>
      </c>
      <c r="B13" s="14" t="str">
        <f>_xlfn.TEXTJOIN(CHAR(10),,Scenario!A41,Scenario!C41)</f>
        <v>TS032
Validate the working of 'Footer' options' functionality</v>
      </c>
      <c r="C13" s="13" t="s">
        <v>458</v>
      </c>
      <c r="D13" s="13" t="s">
        <v>435</v>
      </c>
      <c r="E13" s="15" t="s">
        <v>440</v>
      </c>
      <c r="F13" s="13" t="str">
        <f t="shared" si="0"/>
        <v>Affiliates</v>
      </c>
      <c r="G13" s="13" t="str">
        <f t="shared" si="1"/>
        <v>Should navigate user to 'Affiliates'. A proper text/information should display on this page</v>
      </c>
      <c r="H13" s="13"/>
      <c r="I13" s="13"/>
      <c r="J13" s="13"/>
      <c r="K13" s="13"/>
    </row>
    <row r="14" s="28" customFormat="1" ht="28.5" spans="1:11">
      <c r="A14" s="13" t="s">
        <v>459</v>
      </c>
      <c r="B14" s="14" t="str">
        <f>_xlfn.TEXTJOIN(CHAR(10),,Scenario!A41,Scenario!C41)</f>
        <v>TS032
Validate the working of 'Footer' options' functionality</v>
      </c>
      <c r="C14" s="13" t="s">
        <v>460</v>
      </c>
      <c r="D14" s="13" t="s">
        <v>435</v>
      </c>
      <c r="E14" s="15" t="s">
        <v>440</v>
      </c>
      <c r="F14" s="13" t="str">
        <f t="shared" si="0"/>
        <v>Specials</v>
      </c>
      <c r="G14" s="13" t="str">
        <f t="shared" si="1"/>
        <v>Should navigate user to 'Specials'. A proper text/information should display on this page</v>
      </c>
      <c r="H14" s="13"/>
      <c r="I14" s="13"/>
      <c r="J14" s="13"/>
      <c r="K14" s="13"/>
    </row>
    <row r="15" s="28" customFormat="1" ht="28.5" spans="1:11">
      <c r="A15" s="13" t="s">
        <v>461</v>
      </c>
      <c r="B15" s="14" t="str">
        <f>_xlfn.TEXTJOIN(CHAR(10),,Scenario!A41,Scenario!C41)</f>
        <v>TS032
Validate the working of 'Footer' options' functionality</v>
      </c>
      <c r="C15" s="13" t="s">
        <v>462</v>
      </c>
      <c r="D15" s="13" t="s">
        <v>435</v>
      </c>
      <c r="E15" s="15" t="s">
        <v>440</v>
      </c>
      <c r="F15" s="13" t="str">
        <f t="shared" si="0"/>
        <v>My Account</v>
      </c>
      <c r="G15" s="13" t="str">
        <f t="shared" si="1"/>
        <v>Should navigate user to 'My Account'. A proper text/information should display on this page</v>
      </c>
      <c r="H15" s="13"/>
      <c r="I15" s="13"/>
      <c r="J15" s="13"/>
      <c r="K15" s="13"/>
    </row>
    <row r="16" s="28" customFormat="1" ht="28.5" spans="1:11">
      <c r="A16" s="13" t="s">
        <v>463</v>
      </c>
      <c r="B16" s="14" t="str">
        <f>_xlfn.TEXTJOIN(CHAR(10),,Scenario!A41,Scenario!C41)</f>
        <v>TS032
Validate the working of 'Footer' options' functionality</v>
      </c>
      <c r="C16" s="13" t="s">
        <v>464</v>
      </c>
      <c r="D16" s="13" t="s">
        <v>435</v>
      </c>
      <c r="E16" s="15" t="s">
        <v>440</v>
      </c>
      <c r="F16" s="13" t="str">
        <f t="shared" si="0"/>
        <v>Order History</v>
      </c>
      <c r="G16" s="13" t="str">
        <f t="shared" si="1"/>
        <v>Should navigate user to 'Order History'. A proper text/information should display on this page</v>
      </c>
      <c r="H16" s="13"/>
      <c r="I16" s="13"/>
      <c r="J16" s="13"/>
      <c r="K16" s="13"/>
    </row>
    <row r="17" s="28" customFormat="1" ht="28.5" spans="1:11">
      <c r="A17" s="13" t="s">
        <v>465</v>
      </c>
      <c r="B17" s="14" t="str">
        <f>_xlfn.TEXTJOIN(CHAR(10),,Scenario!A41,Scenario!C41)</f>
        <v>TS032
Validate the working of 'Footer' options' functionality</v>
      </c>
      <c r="C17" s="13" t="s">
        <v>466</v>
      </c>
      <c r="D17" s="13" t="s">
        <v>435</v>
      </c>
      <c r="E17" s="15" t="s">
        <v>440</v>
      </c>
      <c r="F17" s="13" t="str">
        <f t="shared" si="0"/>
        <v>Wish List</v>
      </c>
      <c r="G17" s="13" t="str">
        <f t="shared" si="1"/>
        <v>Should navigate user to 'Wish List'. A proper text/information should display on this page</v>
      </c>
      <c r="H17" s="13"/>
      <c r="I17" s="13"/>
      <c r="J17" s="13"/>
      <c r="K17" s="13"/>
    </row>
    <row r="18" s="28" customFormat="1" ht="28.5" spans="1:11">
      <c r="A18" s="13" t="s">
        <v>467</v>
      </c>
      <c r="B18" s="14" t="str">
        <f>_xlfn.TEXTJOIN(CHAR(10),,Scenario!A41,Scenario!C41)</f>
        <v>TS032
Validate the working of 'Footer' options' functionality</v>
      </c>
      <c r="C18" s="13" t="s">
        <v>468</v>
      </c>
      <c r="D18" s="13" t="s">
        <v>435</v>
      </c>
      <c r="E18" s="15" t="s">
        <v>440</v>
      </c>
      <c r="F18" s="13" t="str">
        <f t="shared" si="0"/>
        <v>Newletter</v>
      </c>
      <c r="G18" s="13" t="str">
        <f t="shared" si="1"/>
        <v>Should navigate user to 'Newletter'. A proper text/information should display on this page</v>
      </c>
      <c r="H18" s="13"/>
      <c r="I18" s="13"/>
      <c r="J18" s="13"/>
      <c r="K18" s="13"/>
    </row>
    <row r="19" spans="1:11">
      <c r="B19" s="30"/>
    </row>
    <row r="20" spans="1:11">
      <c r="B20" s="30"/>
    </row>
    <row r="21" spans="1:11">
      <c r="B21" s="30"/>
    </row>
    <row r="22" spans="1:11">
      <c r="B22" s="30"/>
    </row>
    <row r="23" spans="1:11">
      <c r="B23" s="30"/>
    </row>
    <row r="24" spans="1:11">
      <c r="B24" s="30"/>
    </row>
    <row r="25" spans="1:11">
      <c r="B25" s="30"/>
    </row>
    <row r="26" spans="1:11">
      <c r="B26" s="30"/>
    </row>
    <row r="27" spans="1:11">
      <c r="B27" s="30"/>
    </row>
    <row r="28" spans="1:11">
      <c r="B28" s="30"/>
    </row>
    <row r="29" spans="1:11">
      <c r="B29" s="30"/>
    </row>
    <row r="30" spans="1:11">
      <c r="B30" s="30"/>
    </row>
    <row r="31" spans="1:11">
      <c r="B31" s="30"/>
    </row>
    <row r="32" spans="1:11">
      <c r="B32" s="30"/>
    </row>
    <row r="33" spans="2:2">
      <c r="B33" s="30"/>
    </row>
    <row r="34" spans="2:2">
      <c r="B34" s="30"/>
    </row>
    <row r="35" spans="2:2">
      <c r="B35" s="30"/>
    </row>
    <row r="36" spans="2:2">
      <c r="B36" s="30"/>
    </row>
  </sheetData>
  <dataValidations count="1">
    <dataValidation type="list" allowBlank="1" showInputMessage="1" showErrorMessage="1" sqref="D2">
      <formula1>"working,complete"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53"/>
  <sheetViews>
    <sheetView zoomScale="85" zoomScaleNormal="85" workbookViewId="0">
      <selection activeCell="D22" sqref="D22"/>
    </sheetView>
  </sheetViews>
  <sheetFormatPr defaultColWidth="9" defaultRowHeight="14.25"/>
  <cols>
    <col min="1" max="1" width="13.125" customWidth="1"/>
    <col min="2" max="2" width="40.875" style="1" customWidth="1"/>
    <col min="3" max="3" width="72.125" customWidth="1"/>
    <col min="4" max="4" width="38.0833333333333" customWidth="1"/>
    <col min="5" max="5" width="61.625" style="18" customWidth="1"/>
    <col min="6" max="6" width="28.75" style="19" customWidth="1"/>
    <col min="7" max="7" width="64.75" customWidth="1"/>
    <col min="8" max="8" width="13.375" customWidth="1"/>
    <col min="9" max="9" width="7.75" customWidth="1"/>
    <col min="10" max="10" width="7.125" customWidth="1"/>
    <col min="11" max="11" width="42.725" customWidth="1"/>
  </cols>
  <sheetData>
    <row r="1" ht="15" spans="1:11">
      <c r="A1" s="11" t="s">
        <v>134</v>
      </c>
      <c r="B1" s="11" t="s">
        <v>135</v>
      </c>
      <c r="C1" s="12" t="s">
        <v>136</v>
      </c>
      <c r="D1" s="11" t="s">
        <v>137</v>
      </c>
      <c r="E1" s="11" t="s">
        <v>138</v>
      </c>
      <c r="F1" s="11" t="s">
        <v>139</v>
      </c>
      <c r="G1" s="12" t="s">
        <v>140</v>
      </c>
      <c r="H1" s="11" t="s">
        <v>20</v>
      </c>
      <c r="I1" s="11" t="s">
        <v>22</v>
      </c>
      <c r="J1" s="11" t="s">
        <v>141</v>
      </c>
      <c r="K1" s="11" t="s">
        <v>142</v>
      </c>
    </row>
    <row r="2" ht="18" spans="1:11">
      <c r="A2" s="20" t="s">
        <v>135</v>
      </c>
      <c r="B2"/>
      <c r="C2" t="s">
        <v>277</v>
      </c>
      <c r="D2" t="s">
        <v>52</v>
      </c>
      <c r="E2"/>
      <c r="F2"/>
    </row>
    <row r="3" ht="57" spans="1:11">
      <c r="A3" s="13" t="s">
        <v>469</v>
      </c>
      <c r="B3" s="14" t="str">
        <f>_xlfn.TEXTJOIN(CHAR(10),,Scenario!A16,Scenario!C16)</f>
        <v>TS007
Validate the working of 'Product page' functionality</v>
      </c>
      <c r="C3" s="13" t="s">
        <v>470</v>
      </c>
      <c r="D3" s="15" t="s">
        <v>471</v>
      </c>
      <c r="E3" s="21" t="s">
        <v>472</v>
      </c>
      <c r="F3" s="22" t="s">
        <v>473</v>
      </c>
      <c r="G3" s="15" t="s">
        <v>474</v>
      </c>
      <c r="H3" s="13"/>
      <c r="I3" s="13"/>
      <c r="J3" s="13"/>
      <c r="K3" s="13"/>
    </row>
    <row r="4" ht="28.5" spans="1:11">
      <c r="A4" s="13" t="s">
        <v>475</v>
      </c>
      <c r="B4" s="14" t="str">
        <f>_xlfn.TEXTJOIN(CHAR(10),,Scenario!A16,Scenario!C16)</f>
        <v>TS007
Validate the working of 'Product page' functionality</v>
      </c>
      <c r="C4" s="13" t="s">
        <v>476</v>
      </c>
      <c r="D4" s="15" t="s">
        <v>471</v>
      </c>
      <c r="E4" s="21" t="s">
        <v>477</v>
      </c>
      <c r="F4" s="22" t="s">
        <v>473</v>
      </c>
      <c r="G4" s="15" t="s">
        <v>478</v>
      </c>
      <c r="H4" s="13"/>
      <c r="I4" s="13"/>
      <c r="J4" s="13"/>
      <c r="K4" s="13"/>
    </row>
    <row r="5" ht="28.5" spans="1:11">
      <c r="A5" s="13" t="s">
        <v>479</v>
      </c>
      <c r="B5" s="14" t="str">
        <f>_xlfn.TEXTJOIN(CHAR(10),,Scenario!A16,Scenario!C16)</f>
        <v>TS007
Validate the working of 'Product page' functionality</v>
      </c>
      <c r="C5" s="13" t="s">
        <v>480</v>
      </c>
      <c r="D5" s="15" t="s">
        <v>471</v>
      </c>
      <c r="E5" s="15" t="s">
        <v>481</v>
      </c>
      <c r="F5" s="22" t="s">
        <v>473</v>
      </c>
      <c r="G5" s="13" t="s">
        <v>482</v>
      </c>
      <c r="H5" s="13"/>
      <c r="I5" s="13"/>
      <c r="J5" s="13"/>
      <c r="K5" s="13"/>
    </row>
    <row r="6" ht="42.75" spans="1:11">
      <c r="A6" s="13" t="s">
        <v>483</v>
      </c>
      <c r="B6" s="14" t="str">
        <f>_xlfn.TEXTJOIN(CHAR(10),,Scenario!A16,Scenario!C16)</f>
        <v>TS007
Validate the working of 'Product page' functionality</v>
      </c>
      <c r="C6" s="13" t="s">
        <v>484</v>
      </c>
      <c r="D6" s="15" t="s">
        <v>471</v>
      </c>
      <c r="E6" s="21" t="s">
        <v>485</v>
      </c>
      <c r="F6" s="22" t="s">
        <v>473</v>
      </c>
      <c r="G6" s="15" t="s">
        <v>486</v>
      </c>
      <c r="H6" s="13"/>
      <c r="I6" s="13"/>
      <c r="J6" s="13"/>
      <c r="K6" s="13"/>
    </row>
    <row r="7" ht="42.75" spans="1:11">
      <c r="A7" s="13" t="s">
        <v>487</v>
      </c>
      <c r="B7" s="14" t="str">
        <f>_xlfn.TEXTJOIN(CHAR(10),,Scenario!A16,Scenario!C16)</f>
        <v>TS007
Validate the working of 'Product page' functionality</v>
      </c>
      <c r="C7" s="13" t="s">
        <v>488</v>
      </c>
      <c r="D7" s="15" t="s">
        <v>471</v>
      </c>
      <c r="E7" s="15" t="s">
        <v>489</v>
      </c>
      <c r="F7" s="22" t="s">
        <v>490</v>
      </c>
      <c r="G7" s="13" t="s">
        <v>491</v>
      </c>
      <c r="H7" s="13"/>
      <c r="I7" s="13"/>
      <c r="J7" s="13"/>
      <c r="K7" s="13"/>
    </row>
    <row r="8" ht="42.75" spans="1:11">
      <c r="A8" s="13" t="s">
        <v>492</v>
      </c>
      <c r="B8" s="14" t="str">
        <f>_xlfn.TEXTJOIN(CHAR(10),,Scenario!A16,Scenario!C16)</f>
        <v>TS007
Validate the working of 'Product page' functionality</v>
      </c>
      <c r="C8" s="13" t="s">
        <v>493</v>
      </c>
      <c r="D8" s="15" t="s">
        <v>471</v>
      </c>
      <c r="E8" s="15" t="s">
        <v>489</v>
      </c>
      <c r="F8" s="23" t="s">
        <v>494</v>
      </c>
      <c r="G8" s="13" t="s">
        <v>495</v>
      </c>
      <c r="H8" s="13"/>
      <c r="I8" s="13"/>
      <c r="J8" s="13"/>
      <c r="K8" s="13"/>
    </row>
    <row r="9" ht="42.75" spans="1:11">
      <c r="A9" s="13" t="s">
        <v>496</v>
      </c>
      <c r="B9" s="14" t="str">
        <f>_xlfn.TEXTJOIN(CHAR(10),,Scenario!A16,Scenario!C16)</f>
        <v>TS007
Validate the working of 'Product page' functionality</v>
      </c>
      <c r="C9" s="13" t="s">
        <v>497</v>
      </c>
      <c r="D9" s="15" t="s">
        <v>498</v>
      </c>
      <c r="E9" s="21" t="s">
        <v>499</v>
      </c>
      <c r="F9" s="22" t="s">
        <v>473</v>
      </c>
      <c r="G9" s="15" t="s">
        <v>500</v>
      </c>
      <c r="H9" s="13"/>
      <c r="I9" s="13"/>
      <c r="J9" s="13"/>
      <c r="K9" s="13"/>
    </row>
    <row r="10" ht="42.75" spans="1:11">
      <c r="A10" s="13" t="s">
        <v>501</v>
      </c>
      <c r="B10" s="14" t="str">
        <f>_xlfn.TEXTJOIN(CHAR(10),,Scenario!A16,Scenario!C16)</f>
        <v>TS007
Validate the working of 'Product page' functionality</v>
      </c>
      <c r="C10" s="13" t="s">
        <v>502</v>
      </c>
      <c r="D10" s="15" t="s">
        <v>503</v>
      </c>
      <c r="E10" s="21" t="s">
        <v>499</v>
      </c>
      <c r="F10" s="22" t="s">
        <v>473</v>
      </c>
      <c r="G10" s="15" t="s">
        <v>504</v>
      </c>
      <c r="H10" s="13"/>
      <c r="I10" s="13"/>
      <c r="J10" s="13"/>
      <c r="K10" s="13"/>
    </row>
    <row r="11" ht="28.5" spans="1:11">
      <c r="A11" s="13" t="s">
        <v>505</v>
      </c>
      <c r="B11" s="14" t="str">
        <f>_xlfn.TEXTJOIN(CHAR(10),,Scenario!A16,Scenario!C16)</f>
        <v>TS007
Validate the working of 'Product page' functionality</v>
      </c>
      <c r="C11" s="13" t="s">
        <v>506</v>
      </c>
      <c r="D11" s="15" t="s">
        <v>471</v>
      </c>
      <c r="E11" s="15" t="s">
        <v>507</v>
      </c>
      <c r="F11" s="22" t="s">
        <v>473</v>
      </c>
      <c r="G11" s="13" t="s">
        <v>508</v>
      </c>
      <c r="H11" s="13"/>
      <c r="I11" s="13"/>
      <c r="J11" s="13"/>
      <c r="K11" s="13"/>
    </row>
    <row r="12" ht="42.75" spans="1:11">
      <c r="A12" s="13" t="s">
        <v>509</v>
      </c>
      <c r="B12" s="14" t="str">
        <f>_xlfn.TEXTJOIN(CHAR(10),,Scenario!A16,Scenario!C16)</f>
        <v>TS007
Validate the working of 'Product page' functionality</v>
      </c>
      <c r="C12" s="13" t="s">
        <v>510</v>
      </c>
      <c r="D12" s="15" t="s">
        <v>471</v>
      </c>
      <c r="E12" s="15" t="s">
        <v>511</v>
      </c>
      <c r="F12" s="22" t="s">
        <v>473</v>
      </c>
      <c r="G12" s="13" t="s">
        <v>512</v>
      </c>
      <c r="H12" s="13"/>
      <c r="I12" s="13"/>
      <c r="J12" s="13"/>
      <c r="K12" s="13"/>
    </row>
    <row r="13" ht="28.5" spans="1:11">
      <c r="A13" s="13" t="s">
        <v>513</v>
      </c>
      <c r="B13" s="14" t="str">
        <f>_xlfn.TEXTJOIN(CHAR(10),,Scenario!A16,Scenario!C16)</f>
        <v>TS007
Validate the working of 'Product page' functionality</v>
      </c>
      <c r="C13" s="13" t="s">
        <v>514</v>
      </c>
      <c r="D13" s="15" t="s">
        <v>471</v>
      </c>
      <c r="E13" s="15" t="s">
        <v>515</v>
      </c>
      <c r="F13" s="22" t="s">
        <v>473</v>
      </c>
      <c r="G13" s="13" t="s">
        <v>516</v>
      </c>
      <c r="H13" s="13"/>
      <c r="I13" s="13"/>
      <c r="J13" s="13"/>
      <c r="K13" s="13"/>
    </row>
    <row r="14" ht="28.5" spans="1:11">
      <c r="A14" s="13" t="s">
        <v>517</v>
      </c>
      <c r="B14" s="14" t="str">
        <f>_xlfn.TEXTJOIN(CHAR(10),,Scenario!A16,Scenario!C16)</f>
        <v>TS007
Validate the working of 'Product page' functionality</v>
      </c>
      <c r="C14" s="13" t="s">
        <v>518</v>
      </c>
      <c r="D14" s="15" t="s">
        <v>471</v>
      </c>
      <c r="E14" s="15" t="s">
        <v>519</v>
      </c>
      <c r="F14" s="22" t="s">
        <v>473</v>
      </c>
      <c r="G14" s="13" t="s">
        <v>520</v>
      </c>
      <c r="H14" s="13"/>
      <c r="I14" s="13"/>
      <c r="J14" s="13"/>
      <c r="K14" s="13"/>
    </row>
    <row r="15" ht="28.5" spans="1:11">
      <c r="A15" s="13" t="s">
        <v>521</v>
      </c>
      <c r="B15" s="14" t="str">
        <f>_xlfn.TEXTJOIN(CHAR(10),,Scenario!A16,Scenario!C16)</f>
        <v>TS007
Validate the working of 'Product page' functionality</v>
      </c>
      <c r="C15" s="13" t="s">
        <v>522</v>
      </c>
      <c r="D15" s="15" t="s">
        <v>471</v>
      </c>
      <c r="E15" s="21" t="s">
        <v>523</v>
      </c>
      <c r="F15" s="22" t="s">
        <v>473</v>
      </c>
      <c r="G15" s="13" t="s">
        <v>524</v>
      </c>
      <c r="H15" s="13"/>
      <c r="I15" s="13"/>
      <c r="J15" s="13"/>
      <c r="K15" s="13"/>
    </row>
    <row r="16" ht="42.75" spans="1:11">
      <c r="A16" s="13" t="s">
        <v>525</v>
      </c>
      <c r="B16" s="14" t="str">
        <f>_xlfn.TEXTJOIN(CHAR(10),,Scenario!A16,Scenario!C16)</f>
        <v>TS007
Validate the working of 'Product page' functionality</v>
      </c>
      <c r="C16" s="13" t="s">
        <v>526</v>
      </c>
      <c r="D16" s="15" t="s">
        <v>471</v>
      </c>
      <c r="E16" s="15" t="s">
        <v>527</v>
      </c>
      <c r="F16" s="70" t="s">
        <v>528</v>
      </c>
      <c r="G16" s="13" t="s">
        <v>529</v>
      </c>
      <c r="H16" s="13"/>
      <c r="I16" s="13"/>
      <c r="J16" s="13"/>
      <c r="K16" s="13"/>
    </row>
    <row r="17" ht="42.75" spans="1:11">
      <c r="A17" s="13" t="s">
        <v>530</v>
      </c>
      <c r="B17" s="14" t="str">
        <f>_xlfn.TEXTJOIN(CHAR(10),,Scenario!A16,Scenario!C16)</f>
        <v>TS007
Validate the working of 'Product page' functionality</v>
      </c>
      <c r="C17" s="13" t="s">
        <v>531</v>
      </c>
      <c r="D17" s="15" t="s">
        <v>471</v>
      </c>
      <c r="E17" s="15" t="s">
        <v>532</v>
      </c>
      <c r="F17" s="22" t="s">
        <v>473</v>
      </c>
      <c r="G17" s="13" t="s">
        <v>533</v>
      </c>
      <c r="H17" s="13"/>
      <c r="I17" s="13"/>
      <c r="J17" s="13"/>
      <c r="K17" s="13"/>
    </row>
    <row r="18" ht="28.5" spans="1:11">
      <c r="A18" s="13" t="s">
        <v>534</v>
      </c>
      <c r="B18" s="14" t="str">
        <f>_xlfn.TEXTJOIN(CHAR(10),,Scenario!A16,Scenario!C16)</f>
        <v>TS007
Validate the working of 'Product page' functionality</v>
      </c>
      <c r="C18" s="13" t="s">
        <v>535</v>
      </c>
      <c r="D18" s="15" t="s">
        <v>536</v>
      </c>
      <c r="E18" s="13" t="s">
        <v>537</v>
      </c>
      <c r="F18" s="22" t="s">
        <v>473</v>
      </c>
      <c r="G18" s="13" t="s">
        <v>538</v>
      </c>
      <c r="H18" s="13"/>
      <c r="I18" s="13"/>
      <c r="J18" s="13"/>
      <c r="K18" s="13"/>
    </row>
    <row r="19" ht="42.75" spans="1:11">
      <c r="A19" s="13" t="s">
        <v>539</v>
      </c>
      <c r="B19" s="14" t="str">
        <f>_xlfn.TEXTJOIN(CHAR(10),,Scenario!A16,Scenario!C16)</f>
        <v>TS007
Validate the working of 'Product page' functionality</v>
      </c>
      <c r="C19" s="13" t="s">
        <v>540</v>
      </c>
      <c r="D19" s="15" t="s">
        <v>536</v>
      </c>
      <c r="E19" s="13" t="s">
        <v>541</v>
      </c>
      <c r="F19" s="22" t="s">
        <v>473</v>
      </c>
      <c r="G19" s="15" t="s">
        <v>542</v>
      </c>
      <c r="H19" s="13"/>
      <c r="I19" s="13"/>
      <c r="J19" s="13"/>
      <c r="K19" s="13"/>
    </row>
    <row r="20" ht="28.5" spans="1:11">
      <c r="A20" s="13" t="s">
        <v>543</v>
      </c>
      <c r="B20" s="14" t="str">
        <f>_xlfn.TEXTJOIN(CHAR(10),,Scenario!A16,Scenario!C16)</f>
        <v>TS007
Validate the working of 'Product page' functionality</v>
      </c>
      <c r="C20" s="13" t="s">
        <v>544</v>
      </c>
      <c r="D20" s="15" t="s">
        <v>536</v>
      </c>
      <c r="E20" s="15" t="s">
        <v>545</v>
      </c>
      <c r="F20" s="13" t="s">
        <v>546</v>
      </c>
      <c r="G20" s="13" t="s">
        <v>547</v>
      </c>
      <c r="H20" s="13"/>
      <c r="I20" s="13"/>
      <c r="J20" s="13"/>
      <c r="K20" s="13"/>
    </row>
    <row r="21" ht="28.5" spans="1:11">
      <c r="A21" s="13" t="s">
        <v>548</v>
      </c>
      <c r="B21" s="14" t="str">
        <f>_xlfn.TEXTJOIN(CHAR(10),,Scenario!A16,Scenario!C16)</f>
        <v>TS007
Validate the working of 'Product page' functionality</v>
      </c>
      <c r="C21" s="13" t="s">
        <v>549</v>
      </c>
      <c r="D21" s="15" t="s">
        <v>536</v>
      </c>
      <c r="E21" s="15" t="s">
        <v>550</v>
      </c>
      <c r="F21" s="13" t="s">
        <v>551</v>
      </c>
      <c r="G21" s="13" t="s">
        <v>552</v>
      </c>
      <c r="H21" s="13"/>
      <c r="I21" s="13"/>
      <c r="J21" s="13"/>
      <c r="K21" s="13"/>
    </row>
    <row r="22" ht="28.5" spans="1:11">
      <c r="A22" s="13" t="s">
        <v>553</v>
      </c>
      <c r="B22" s="14" t="str">
        <f>_xlfn.TEXTJOIN(CHAR(10),,Scenario!A16,Scenario!C16)</f>
        <v>TS007
Validate the working of 'Product page' functionality</v>
      </c>
      <c r="C22" s="13" t="s">
        <v>554</v>
      </c>
      <c r="D22" s="15" t="s">
        <v>536</v>
      </c>
      <c r="E22" s="15" t="s">
        <v>555</v>
      </c>
      <c r="F22" s="22" t="s">
        <v>473</v>
      </c>
      <c r="G22" s="13" t="s">
        <v>556</v>
      </c>
      <c r="H22" s="13"/>
      <c r="I22" s="13"/>
      <c r="J22" s="13"/>
      <c r="K22" s="13"/>
    </row>
    <row r="23" ht="28.5" spans="1:11">
      <c r="A23" s="13" t="s">
        <v>557</v>
      </c>
      <c r="B23" s="14" t="str">
        <f>_xlfn.TEXTJOIN(CHAR(10),,Scenario!A16,Scenario!C16)</f>
        <v>TS007
Validate the working of 'Product page' functionality</v>
      </c>
      <c r="C23" s="13" t="s">
        <v>558</v>
      </c>
      <c r="D23" s="15" t="s">
        <v>536</v>
      </c>
      <c r="E23" s="15" t="s">
        <v>559</v>
      </c>
      <c r="F23" s="13" t="s">
        <v>560</v>
      </c>
      <c r="G23" s="13" t="s">
        <v>561</v>
      </c>
      <c r="H23" s="13"/>
      <c r="I23" s="13"/>
      <c r="J23" s="13"/>
      <c r="K23" s="13"/>
    </row>
    <row r="24" ht="28.5" spans="1:11">
      <c r="A24" s="13" t="s">
        <v>562</v>
      </c>
      <c r="B24" s="14" t="str">
        <f>_xlfn.TEXTJOIN(CHAR(10),,Scenario!A16,Scenario!C16)</f>
        <v>TS007
Validate the working of 'Product page' functionality</v>
      </c>
      <c r="C24" s="13" t="s">
        <v>563</v>
      </c>
      <c r="D24" s="15" t="s">
        <v>536</v>
      </c>
      <c r="E24" s="15" t="s">
        <v>564</v>
      </c>
      <c r="F24" s="22" t="s">
        <v>473</v>
      </c>
      <c r="G24" s="13" t="s">
        <v>565</v>
      </c>
      <c r="H24" s="13"/>
      <c r="I24" s="13"/>
      <c r="J24" s="13"/>
      <c r="K24" s="13"/>
    </row>
    <row r="25" ht="42.75" spans="1:11">
      <c r="A25" s="13" t="s">
        <v>566</v>
      </c>
      <c r="B25" s="14" t="str">
        <f>_xlfn.TEXTJOIN(CHAR(10),,Scenario!A16,Scenario!C16)</f>
        <v>TS007
Validate the working of 'Product page' functionality</v>
      </c>
      <c r="C25" s="13" t="s">
        <v>567</v>
      </c>
      <c r="D25" s="15" t="s">
        <v>536</v>
      </c>
      <c r="E25" s="15" t="s">
        <v>568</v>
      </c>
      <c r="F25" s="13" t="s">
        <v>569</v>
      </c>
      <c r="G25" s="13" t="s">
        <v>570</v>
      </c>
      <c r="H25" s="13"/>
      <c r="I25" s="13"/>
      <c r="J25" s="13"/>
      <c r="K25" s="13"/>
    </row>
    <row r="26" ht="28.5" spans="1:11">
      <c r="A26" s="13" t="s">
        <v>571</v>
      </c>
      <c r="B26" s="14" t="str">
        <f>_xlfn.TEXTJOIN(CHAR(10),,Scenario!A16,Scenario!C16)</f>
        <v>TS007
Validate the working of 'Product page' functionality</v>
      </c>
      <c r="C26" s="13" t="s">
        <v>572</v>
      </c>
      <c r="D26" s="15" t="s">
        <v>536</v>
      </c>
      <c r="E26" s="15" t="s">
        <v>573</v>
      </c>
      <c r="F26" s="22" t="s">
        <v>473</v>
      </c>
      <c r="G26" s="13" t="s">
        <v>574</v>
      </c>
      <c r="H26" s="13"/>
      <c r="I26" s="13"/>
      <c r="J26" s="13"/>
      <c r="K26" s="13"/>
    </row>
    <row r="27" ht="42.75" spans="1:11">
      <c r="A27" s="13" t="s">
        <v>575</v>
      </c>
      <c r="B27" s="14" t="str">
        <f>_xlfn.TEXTJOIN(CHAR(10),,Scenario!A16,Scenario!C16)</f>
        <v>TS007
Validate the working of 'Product page' functionality</v>
      </c>
      <c r="C27" s="13" t="s">
        <v>576</v>
      </c>
      <c r="D27" s="15" t="s">
        <v>536</v>
      </c>
      <c r="E27" s="15" t="s">
        <v>577</v>
      </c>
      <c r="F27" s="13" t="s">
        <v>578</v>
      </c>
      <c r="G27" s="13" t="s">
        <v>579</v>
      </c>
      <c r="H27" s="13"/>
      <c r="I27" s="13"/>
      <c r="J27" s="13"/>
      <c r="K27" s="13"/>
    </row>
    <row r="28" ht="42.75" spans="1:11">
      <c r="A28" s="13" t="s">
        <v>580</v>
      </c>
      <c r="B28" s="14" t="str">
        <f>_xlfn.TEXTJOIN(CHAR(10),,Scenario!A16,Scenario!C16)</f>
        <v>TS007
Validate the working of 'Product page' functionality</v>
      </c>
      <c r="C28" s="21" t="s">
        <v>581</v>
      </c>
      <c r="D28" s="15" t="s">
        <v>536</v>
      </c>
      <c r="E28" s="15" t="s">
        <v>577</v>
      </c>
      <c r="F28" s="13" t="s">
        <v>582</v>
      </c>
      <c r="G28" s="13" t="s">
        <v>583</v>
      </c>
      <c r="H28" s="13"/>
      <c r="I28" s="13"/>
      <c r="J28" s="13"/>
      <c r="K28" s="13"/>
    </row>
    <row r="29" s="17" customFormat="1" ht="57" spans="1:11">
      <c r="A29" s="24" t="s">
        <v>584</v>
      </c>
      <c r="B29" s="25" t="str">
        <f>_xlfn.TEXTJOIN(CHAR(10),,Scenario!A16,Scenario!C16)</f>
        <v>TS007
Validate the working of 'Product page' functionality</v>
      </c>
      <c r="C29" s="24" t="s">
        <v>585</v>
      </c>
      <c r="D29" s="26" t="s">
        <v>471</v>
      </c>
      <c r="E29" s="26" t="s">
        <v>586</v>
      </c>
      <c r="F29" s="27" t="s">
        <v>587</v>
      </c>
      <c r="G29" s="24" t="s">
        <v>588</v>
      </c>
      <c r="H29" s="24"/>
      <c r="I29" s="24"/>
      <c r="J29" s="24"/>
      <c r="K29" s="24"/>
    </row>
    <row r="30" ht="57" spans="1:11">
      <c r="A30" s="13" t="s">
        <v>589</v>
      </c>
      <c r="B30" s="14" t="str">
        <f>_xlfn.TEXTJOIN(CHAR(10),,Scenario!A16,Scenario!C16)</f>
        <v>TS007
Validate the working of 'Product page' functionality</v>
      </c>
      <c r="C30" s="13" t="s">
        <v>590</v>
      </c>
      <c r="D30" s="13" t="s">
        <v>591</v>
      </c>
      <c r="E30" s="13" t="s">
        <v>555</v>
      </c>
      <c r="F30" s="22" t="s">
        <v>473</v>
      </c>
      <c r="G30" s="15" t="s">
        <v>592</v>
      </c>
      <c r="H30" s="13"/>
      <c r="I30" s="13"/>
      <c r="J30" s="13"/>
      <c r="K30" s="13"/>
    </row>
    <row r="31" ht="28.5" spans="1:11">
      <c r="A31" s="13" t="s">
        <v>593</v>
      </c>
      <c r="B31" s="14" t="str">
        <f>_xlfn.TEXTJOIN(CHAR(10),,Scenario!A16,Scenario!C16)</f>
        <v>TS007
Validate the working of 'Product page' functionality</v>
      </c>
      <c r="C31" s="13" t="s">
        <v>594</v>
      </c>
      <c r="D31" s="13" t="s">
        <v>591</v>
      </c>
      <c r="E31" s="15" t="s">
        <v>595</v>
      </c>
      <c r="F31" s="13" t="s">
        <v>287</v>
      </c>
      <c r="G31" s="15" t="s">
        <v>596</v>
      </c>
      <c r="H31" s="13"/>
      <c r="I31" s="13"/>
      <c r="J31" s="13"/>
      <c r="K31" s="13"/>
    </row>
    <row r="32" ht="28.5" spans="1:11">
      <c r="A32" s="13" t="s">
        <v>597</v>
      </c>
      <c r="B32" s="14" t="str">
        <f>_xlfn.TEXTJOIN(CHAR(10),,Scenario!A16,Scenario!C16)</f>
        <v>TS007
Validate the working of 'Product page' functionality</v>
      </c>
      <c r="C32" s="13" t="s">
        <v>598</v>
      </c>
      <c r="D32" s="13" t="s">
        <v>591</v>
      </c>
      <c r="E32" s="15" t="s">
        <v>599</v>
      </c>
      <c r="F32" s="13" t="s">
        <v>600</v>
      </c>
      <c r="G32" s="13" t="s">
        <v>601</v>
      </c>
      <c r="H32" s="13"/>
      <c r="I32" s="13"/>
      <c r="J32" s="13"/>
      <c r="K32" s="13"/>
    </row>
    <row r="33" spans="2:6">
      <c r="B33"/>
      <c r="E33"/>
      <c r="F33"/>
    </row>
    <row r="34" spans="2:6">
      <c r="B34"/>
      <c r="E34"/>
      <c r="F34"/>
    </row>
    <row r="35" spans="2:6">
      <c r="B35"/>
      <c r="E35"/>
      <c r="F35"/>
    </row>
    <row r="36" spans="2:6">
      <c r="B36"/>
      <c r="E36"/>
      <c r="F36"/>
    </row>
    <row r="37" spans="2:6">
      <c r="B37"/>
    </row>
    <row r="38" spans="2:6">
      <c r="B38"/>
    </row>
    <row r="39" spans="2:6">
      <c r="B39"/>
    </row>
    <row r="40" spans="2:6">
      <c r="B40"/>
    </row>
    <row r="41" spans="2:6">
      <c r="B41"/>
    </row>
    <row r="42" spans="2:6">
      <c r="B42"/>
    </row>
    <row r="43" spans="2:6">
      <c r="B43"/>
    </row>
    <row r="44" spans="2:6">
      <c r="B44"/>
    </row>
    <row r="45" spans="2:6">
      <c r="B45"/>
    </row>
    <row r="46" spans="2:6">
      <c r="B46"/>
    </row>
    <row r="47" spans="2:6">
      <c r="B47"/>
    </row>
    <row r="48" spans="2:6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</sheetData>
  <dataValidations count="2">
    <dataValidation type="list" allowBlank="1" showInputMessage="1" showErrorMessage="1" sqref="D2">
      <formula1>"working,complete"</formula1>
    </dataValidation>
    <dataValidation type="list" allowBlank="1" showInputMessage="1" showErrorMessage="1" sqref="J3:J32">
      <formula1>"Pass,Defect"</formula1>
    </dataValidation>
  </dataValidations>
  <hyperlinks>
    <hyperlink ref="A2" location="Scenario!A13" display="Test Scenario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37"/>
  <sheetViews>
    <sheetView zoomScale="85" zoomScaleNormal="85" workbookViewId="0">
      <selection activeCell="D22" sqref="D22"/>
    </sheetView>
  </sheetViews>
  <sheetFormatPr defaultColWidth="9" defaultRowHeight="14.25"/>
  <cols>
    <col min="1" max="1" width="13.125" customWidth="1"/>
    <col min="2" max="2" width="52.6" style="1" customWidth="1"/>
    <col min="3" max="3" width="60.2833333333333" customWidth="1"/>
    <col min="4" max="4" width="38.0833333333333" customWidth="1"/>
    <col min="5" max="5" width="47.3416666666667" customWidth="1"/>
    <col min="6" max="6" width="28.75" customWidth="1"/>
    <col min="7" max="7" width="64.75" customWidth="1"/>
    <col min="8" max="8" width="13.375" customWidth="1"/>
    <col min="9" max="9" width="7.75" customWidth="1"/>
    <col min="10" max="10" width="7.125" customWidth="1"/>
    <col min="11" max="11" width="42.725" customWidth="1"/>
  </cols>
  <sheetData>
    <row r="1" ht="15" spans="1:11">
      <c r="A1" s="11" t="s">
        <v>134</v>
      </c>
      <c r="B1" s="11" t="s">
        <v>135</v>
      </c>
      <c r="C1" s="12" t="s">
        <v>136</v>
      </c>
      <c r="D1" s="11" t="s">
        <v>137</v>
      </c>
      <c r="E1" s="11" t="s">
        <v>138</v>
      </c>
      <c r="F1" s="11" t="s">
        <v>139</v>
      </c>
      <c r="G1" s="12" t="s">
        <v>140</v>
      </c>
      <c r="H1" s="11" t="s">
        <v>20</v>
      </c>
      <c r="I1" s="11" t="s">
        <v>22</v>
      </c>
      <c r="J1" s="11" t="s">
        <v>141</v>
      </c>
      <c r="K1" s="11" t="s">
        <v>142</v>
      </c>
    </row>
    <row r="2" spans="1:11">
      <c r="A2" s="13"/>
      <c r="B2" s="14"/>
      <c r="C2" t="s">
        <v>277</v>
      </c>
      <c r="D2" t="s">
        <v>52</v>
      </c>
      <c r="E2" s="15"/>
      <c r="F2" s="13"/>
      <c r="G2" s="13"/>
      <c r="H2" s="13"/>
      <c r="I2" s="13"/>
      <c r="J2" s="13"/>
      <c r="K2" s="13"/>
    </row>
    <row r="3" ht="28.5" spans="1:11">
      <c r="A3" s="13" t="s">
        <v>602</v>
      </c>
      <c r="B3" s="14" t="str">
        <f>_xlfn.TEXTJOIN(CHAR(10),,Scenario!A19,Scenario!C19)</f>
        <v>TS010
Validate the working of 'Shopping Cart page' functionality</v>
      </c>
      <c r="C3" s="15" t="s">
        <v>603</v>
      </c>
      <c r="D3" s="15" t="s">
        <v>604</v>
      </c>
      <c r="E3" s="15" t="s">
        <v>605</v>
      </c>
      <c r="F3" s="13" t="s">
        <v>473</v>
      </c>
      <c r="G3" s="13" t="s">
        <v>606</v>
      </c>
      <c r="H3" s="13"/>
      <c r="I3" s="13"/>
      <c r="J3" s="13"/>
      <c r="K3" s="13"/>
    </row>
    <row r="4" ht="42.75" spans="1:11">
      <c r="A4" s="13" t="s">
        <v>607</v>
      </c>
      <c r="B4" s="14" t="str">
        <f>_xlfn.TEXTJOIN(CHAR(10),,Scenario!A19,Scenario!C19)</f>
        <v>TS010
Validate the working of 'Shopping Cart page' functionality</v>
      </c>
      <c r="C4" s="15" t="s">
        <v>608</v>
      </c>
      <c r="D4" s="15" t="s">
        <v>609</v>
      </c>
      <c r="E4" s="13" t="s">
        <v>555</v>
      </c>
      <c r="F4" s="13" t="s">
        <v>473</v>
      </c>
      <c r="G4" s="15" t="s">
        <v>610</v>
      </c>
      <c r="H4" s="13"/>
      <c r="I4" s="13"/>
      <c r="J4" s="13"/>
      <c r="K4" s="13"/>
    </row>
    <row r="5" ht="42.75" spans="1:11">
      <c r="A5" s="13" t="s">
        <v>611</v>
      </c>
      <c r="B5" s="14" t="str">
        <f>_xlfn.TEXTJOIN(CHAR(10),,Scenario!A19,Scenario!C19)</f>
        <v>TS010
Validate the working of 'Shopping Cart page' functionality</v>
      </c>
      <c r="C5" s="15" t="s">
        <v>612</v>
      </c>
      <c r="D5" s="15" t="s">
        <v>609</v>
      </c>
      <c r="E5" s="15" t="s">
        <v>613</v>
      </c>
      <c r="F5" s="13" t="s">
        <v>490</v>
      </c>
      <c r="G5" s="15" t="s">
        <v>614</v>
      </c>
      <c r="H5" s="13"/>
      <c r="I5" s="13"/>
      <c r="J5" s="13"/>
      <c r="K5" s="13"/>
    </row>
    <row r="6" ht="42.75" spans="1:11">
      <c r="A6" s="13" t="s">
        <v>615</v>
      </c>
      <c r="B6" s="14" t="str">
        <f>_xlfn.TEXTJOIN(CHAR(10),,Scenario!A19,Scenario!C19)</f>
        <v>TS010
Validate the working of 'Shopping Cart page' functionality</v>
      </c>
      <c r="C6" s="15" t="s">
        <v>616</v>
      </c>
      <c r="D6" s="15" t="s">
        <v>609</v>
      </c>
      <c r="E6" s="15" t="s">
        <v>613</v>
      </c>
      <c r="F6" s="13" t="s">
        <v>617</v>
      </c>
      <c r="G6" s="15" t="s">
        <v>618</v>
      </c>
      <c r="H6" s="13"/>
      <c r="I6" s="13"/>
      <c r="J6" s="13"/>
      <c r="K6" s="13"/>
    </row>
    <row r="7" ht="42.75" spans="1:11">
      <c r="A7" s="13" t="s">
        <v>619</v>
      </c>
      <c r="B7" s="14" t="str">
        <f>_xlfn.TEXTJOIN(CHAR(10),,Scenario!A19,Scenario!C19)</f>
        <v>TS010
Validate the working of 'Shopping Cart page' functionality</v>
      </c>
      <c r="C7" s="15" t="s">
        <v>620</v>
      </c>
      <c r="D7" s="15" t="s">
        <v>609</v>
      </c>
      <c r="E7" s="15" t="s">
        <v>613</v>
      </c>
      <c r="F7" s="13" t="s">
        <v>621</v>
      </c>
      <c r="G7" s="16" t="s">
        <v>622</v>
      </c>
      <c r="H7" s="13"/>
      <c r="I7" s="13"/>
      <c r="J7" s="13"/>
      <c r="K7" s="13"/>
    </row>
    <row r="8" ht="42.75" spans="1:11">
      <c r="A8" s="13" t="s">
        <v>623</v>
      </c>
      <c r="B8" s="14" t="str">
        <f>_xlfn.TEXTJOIN(CHAR(10),,Scenario!A19,Scenario!C19)</f>
        <v>TS010
Validate the working of 'Shopping Cart page' functionality</v>
      </c>
      <c r="C8" s="15" t="s">
        <v>624</v>
      </c>
      <c r="D8" s="15" t="s">
        <v>609</v>
      </c>
      <c r="E8" s="15" t="s">
        <v>625</v>
      </c>
      <c r="F8" s="13" t="s">
        <v>473</v>
      </c>
      <c r="G8" s="15" t="s">
        <v>626</v>
      </c>
      <c r="H8" s="13"/>
      <c r="I8" s="13"/>
      <c r="J8" s="13"/>
      <c r="K8" s="13"/>
    </row>
    <row r="9" ht="42.75" spans="1:11">
      <c r="A9" s="13" t="s">
        <v>627</v>
      </c>
      <c r="B9" s="14" t="str">
        <f>_xlfn.TEXTJOIN(CHAR(10),,Scenario!A19,Scenario!C19)</f>
        <v>TS010
Validate the working of 'Shopping Cart page' functionality</v>
      </c>
      <c r="C9" s="15" t="s">
        <v>628</v>
      </c>
      <c r="D9" s="15" t="s">
        <v>609</v>
      </c>
      <c r="E9" s="13" t="s">
        <v>555</v>
      </c>
      <c r="F9" s="13" t="s">
        <v>473</v>
      </c>
      <c r="G9" s="15" t="s">
        <v>629</v>
      </c>
      <c r="H9" s="13"/>
      <c r="I9" s="13"/>
      <c r="J9" s="13"/>
      <c r="K9" s="13"/>
    </row>
    <row r="10" ht="42.75" spans="1:11">
      <c r="A10" s="13" t="s">
        <v>630</v>
      </c>
      <c r="B10" s="14" t="str">
        <f>_xlfn.TEXTJOIN(CHAR(10),,Scenario!A19,Scenario!C19)</f>
        <v>TS010
Validate the working of 'Shopping Cart page' functionality</v>
      </c>
      <c r="C10" s="15" t="s">
        <v>631</v>
      </c>
      <c r="D10" s="15" t="s">
        <v>609</v>
      </c>
      <c r="E10" s="13" t="s">
        <v>632</v>
      </c>
      <c r="F10" s="13" t="s">
        <v>473</v>
      </c>
      <c r="G10" s="15" t="s">
        <v>633</v>
      </c>
      <c r="H10" s="13"/>
      <c r="I10" s="13"/>
      <c r="J10" s="13"/>
      <c r="K10" s="13"/>
    </row>
    <row r="11" ht="57" spans="1:11">
      <c r="A11" s="13" t="s">
        <v>634</v>
      </c>
      <c r="B11" s="14" t="str">
        <f>_xlfn.TEXTJOIN(CHAR(10),,Scenario!A19,Scenario!C19)</f>
        <v>TS010
Validate the working of 'Shopping Cart page' functionality</v>
      </c>
      <c r="C11" s="15" t="s">
        <v>635</v>
      </c>
      <c r="D11" s="15" t="s">
        <v>636</v>
      </c>
      <c r="E11" s="13" t="s">
        <v>632</v>
      </c>
      <c r="F11" s="13" t="s">
        <v>473</v>
      </c>
      <c r="G11" s="15" t="s">
        <v>637</v>
      </c>
      <c r="H11" s="13"/>
      <c r="I11" s="13"/>
      <c r="J11" s="13"/>
      <c r="K11" s="13"/>
    </row>
    <row r="12" ht="57" spans="1:11">
      <c r="A12" s="13" t="s">
        <v>638</v>
      </c>
      <c r="B12" s="14" t="str">
        <f>_xlfn.TEXTJOIN(CHAR(10),,Scenario!A19,Scenario!C19)</f>
        <v>TS010
Validate the working of 'Shopping Cart page' functionality</v>
      </c>
      <c r="C12" s="15" t="s">
        <v>639</v>
      </c>
      <c r="D12" s="15" t="s">
        <v>636</v>
      </c>
      <c r="E12" s="15" t="s">
        <v>640</v>
      </c>
      <c r="F12" s="13" t="s">
        <v>641</v>
      </c>
      <c r="G12" s="15" t="s">
        <v>642</v>
      </c>
      <c r="H12" s="13"/>
      <c r="I12" s="13"/>
      <c r="J12" s="13"/>
      <c r="K12" s="13"/>
    </row>
    <row r="13" ht="57" spans="1:11">
      <c r="A13" s="13" t="s">
        <v>643</v>
      </c>
      <c r="B13" s="14" t="str">
        <f>_xlfn.TEXTJOIN(CHAR(10),,Scenario!A19,Scenario!C19)</f>
        <v>TS010
Validate the working of 'Shopping Cart page' functionality</v>
      </c>
      <c r="C13" s="15" t="s">
        <v>644</v>
      </c>
      <c r="D13" s="15" t="s">
        <v>636</v>
      </c>
      <c r="E13" s="15" t="s">
        <v>645</v>
      </c>
      <c r="F13" s="13" t="s">
        <v>646</v>
      </c>
      <c r="G13" s="15" t="s">
        <v>647</v>
      </c>
      <c r="H13" s="13"/>
      <c r="I13" s="13"/>
      <c r="J13" s="13"/>
      <c r="K13" s="13"/>
    </row>
    <row r="14" ht="57" spans="1:11">
      <c r="A14" s="13" t="s">
        <v>648</v>
      </c>
      <c r="B14" s="14" t="str">
        <f>_xlfn.TEXTJOIN(CHAR(10),,Scenario!A19,Scenario!C19)</f>
        <v>TS010
Validate the working of 'Shopping Cart page' functionality</v>
      </c>
      <c r="C14" s="15" t="s">
        <v>649</v>
      </c>
      <c r="D14" s="15" t="s">
        <v>636</v>
      </c>
      <c r="E14" s="15" t="s">
        <v>645</v>
      </c>
      <c r="F14" s="13" t="s">
        <v>650</v>
      </c>
      <c r="G14" s="15" t="s">
        <v>651</v>
      </c>
      <c r="H14" s="13"/>
      <c r="I14" s="13"/>
      <c r="J14" s="13"/>
      <c r="K14" s="13"/>
    </row>
    <row r="15" ht="57" spans="1:11">
      <c r="A15" s="13" t="s">
        <v>652</v>
      </c>
      <c r="B15" s="14" t="str">
        <f>_xlfn.TEXTJOIN(CHAR(10),,Scenario!A19,Scenario!C19)</f>
        <v>TS010
Validate the working of 'Shopping Cart page' functionality</v>
      </c>
      <c r="C15" s="15" t="s">
        <v>653</v>
      </c>
      <c r="D15" s="15" t="s">
        <v>636</v>
      </c>
      <c r="E15" s="15" t="s">
        <v>645</v>
      </c>
      <c r="F15" s="13" t="s">
        <v>654</v>
      </c>
      <c r="G15" s="15" t="s">
        <v>655</v>
      </c>
      <c r="H15" s="13"/>
      <c r="I15" s="13"/>
      <c r="J15" s="13"/>
      <c r="K15" s="13"/>
    </row>
    <row r="16" ht="42.75" spans="1:11">
      <c r="A16" s="13" t="s">
        <v>656</v>
      </c>
      <c r="B16" s="14" t="str">
        <f>_xlfn.TEXTJOIN(CHAR(10),,Scenario!A19,Scenario!C19)</f>
        <v>TS010
Validate the working of 'Shopping Cart page' functionality</v>
      </c>
      <c r="C16" s="15" t="s">
        <v>657</v>
      </c>
      <c r="D16" s="15" t="s">
        <v>609</v>
      </c>
      <c r="E16" s="15" t="s">
        <v>658</v>
      </c>
      <c r="F16" s="13" t="s">
        <v>473</v>
      </c>
      <c r="G16" s="15" t="s">
        <v>659</v>
      </c>
      <c r="H16" s="13"/>
      <c r="I16" s="13"/>
      <c r="J16" s="13"/>
      <c r="K16" s="13"/>
    </row>
    <row r="17" ht="57" spans="1:11">
      <c r="A17" s="13" t="s">
        <v>660</v>
      </c>
      <c r="B17" s="14" t="str">
        <f>_xlfn.TEXTJOIN(CHAR(10),,Scenario!A19,Scenario!C19)</f>
        <v>TS010
Validate the working of 'Shopping Cart page' functionality</v>
      </c>
      <c r="C17" s="15" t="s">
        <v>661</v>
      </c>
      <c r="D17" s="15" t="s">
        <v>662</v>
      </c>
      <c r="E17" s="15" t="s">
        <v>658</v>
      </c>
      <c r="F17" s="13" t="s">
        <v>473</v>
      </c>
      <c r="G17" s="15" t="s">
        <v>663</v>
      </c>
      <c r="H17" s="13"/>
      <c r="I17" s="13"/>
      <c r="J17" s="13"/>
      <c r="K17" s="13"/>
    </row>
    <row r="18" ht="57" spans="1:11">
      <c r="A18" s="13" t="s">
        <v>664</v>
      </c>
      <c r="B18" s="14" t="str">
        <f>_xlfn.TEXTJOIN(CHAR(10),,Scenario!A19,Scenario!C19)</f>
        <v>TS010
Validate the working of 'Shopping Cart page' functionality</v>
      </c>
      <c r="C18" s="15" t="s">
        <v>665</v>
      </c>
      <c r="D18" s="15" t="s">
        <v>662</v>
      </c>
      <c r="E18" s="13" t="s">
        <v>555</v>
      </c>
      <c r="F18" s="13" t="s">
        <v>473</v>
      </c>
      <c r="G18" s="15" t="s">
        <v>666</v>
      </c>
      <c r="H18" s="13"/>
      <c r="I18" s="13"/>
      <c r="J18" s="13"/>
      <c r="K18" s="13"/>
    </row>
    <row r="19" ht="57" spans="1:11">
      <c r="A19" s="13" t="s">
        <v>667</v>
      </c>
      <c r="B19" s="14" t="str">
        <f>_xlfn.TEXTJOIN(CHAR(10),,Scenario!A19,Scenario!C19)</f>
        <v>TS010
Validate the working of 'Shopping Cart page' functionality</v>
      </c>
      <c r="C19" s="15" t="s">
        <v>668</v>
      </c>
      <c r="D19" s="15" t="s">
        <v>662</v>
      </c>
      <c r="E19" s="15" t="s">
        <v>669</v>
      </c>
      <c r="F19" s="13" t="s">
        <v>670</v>
      </c>
      <c r="G19" s="15" t="s">
        <v>671</v>
      </c>
      <c r="H19" s="13"/>
      <c r="I19" s="13"/>
      <c r="J19" s="13"/>
      <c r="K19" s="13"/>
    </row>
    <row r="20" ht="57" spans="1:11">
      <c r="A20" s="13" t="s">
        <v>672</v>
      </c>
      <c r="B20" s="14" t="str">
        <f>_xlfn.TEXTJOIN(CHAR(10),,Scenario!A19,Scenario!C19)</f>
        <v>TS010
Validate the working of 'Shopping Cart page' functionality</v>
      </c>
      <c r="C20" s="15" t="s">
        <v>673</v>
      </c>
      <c r="D20" s="15" t="s">
        <v>662</v>
      </c>
      <c r="E20" s="15" t="s">
        <v>674</v>
      </c>
      <c r="F20" s="13" t="s">
        <v>675</v>
      </c>
      <c r="G20" s="15" t="s">
        <v>676</v>
      </c>
      <c r="H20" s="13"/>
      <c r="I20" s="13"/>
      <c r="J20" s="13"/>
      <c r="K20" s="13"/>
    </row>
    <row r="21" ht="57" spans="1:11">
      <c r="A21" s="13" t="s">
        <v>677</v>
      </c>
      <c r="B21" s="14" t="str">
        <f>_xlfn.TEXTJOIN(CHAR(10),,Scenario!A19,Scenario!C19)</f>
        <v>TS010
Validate the working of 'Shopping Cart page' functionality</v>
      </c>
      <c r="C21" s="15" t="s">
        <v>678</v>
      </c>
      <c r="D21" s="15" t="s">
        <v>662</v>
      </c>
      <c r="E21" s="13" t="s">
        <v>679</v>
      </c>
      <c r="F21" s="13" t="s">
        <v>473</v>
      </c>
      <c r="G21" s="15" t="s">
        <v>680</v>
      </c>
      <c r="H21" s="13"/>
      <c r="I21" s="13"/>
      <c r="J21" s="13"/>
      <c r="K21" s="13"/>
    </row>
    <row r="22" ht="57" spans="1:11">
      <c r="A22" s="13" t="s">
        <v>681</v>
      </c>
      <c r="B22" s="14" t="str">
        <f>_xlfn.TEXTJOIN(CHAR(10),,Scenario!A19,Scenario!C19)</f>
        <v>TS010
Validate the working of 'Shopping Cart page' functionality</v>
      </c>
      <c r="C22" s="15" t="s">
        <v>682</v>
      </c>
      <c r="D22" s="15" t="s">
        <v>662</v>
      </c>
      <c r="E22" s="15" t="s">
        <v>683</v>
      </c>
      <c r="F22" s="13" t="s">
        <v>684</v>
      </c>
      <c r="G22" s="15" t="s">
        <v>685</v>
      </c>
      <c r="H22" s="13"/>
      <c r="I22" s="13"/>
      <c r="J22" s="13"/>
      <c r="K22" s="13"/>
    </row>
    <row r="23" ht="71.25" spans="1:11">
      <c r="A23" s="13" t="s">
        <v>686</v>
      </c>
      <c r="B23" s="14" t="str">
        <f>_xlfn.TEXTJOIN(CHAR(10),,Scenario!A19,Scenario!C19)</f>
        <v>TS010
Validate the working of 'Shopping Cart page' functionality</v>
      </c>
      <c r="C23" s="15" t="s">
        <v>687</v>
      </c>
      <c r="D23" s="15" t="s">
        <v>688</v>
      </c>
      <c r="E23" s="15" t="s">
        <v>689</v>
      </c>
      <c r="F23" s="15" t="s">
        <v>690</v>
      </c>
      <c r="G23" s="15" t="s">
        <v>691</v>
      </c>
      <c r="H23" s="13"/>
      <c r="I23" s="13"/>
      <c r="J23" s="13"/>
      <c r="K23" s="13"/>
    </row>
    <row r="24" ht="71.25" spans="1:11">
      <c r="A24" s="13" t="s">
        <v>692</v>
      </c>
      <c r="B24" s="14" t="str">
        <f>_xlfn.TEXTJOIN(CHAR(10),,Scenario!A19,Scenario!C19)</f>
        <v>TS010
Validate the working of 'Shopping Cart page' functionality</v>
      </c>
      <c r="C24" s="15" t="s">
        <v>693</v>
      </c>
      <c r="D24" s="15" t="s">
        <v>688</v>
      </c>
      <c r="E24" s="15" t="s">
        <v>694</v>
      </c>
      <c r="F24" s="15" t="s">
        <v>695</v>
      </c>
      <c r="G24" s="15" t="s">
        <v>696</v>
      </c>
      <c r="H24" s="13"/>
      <c r="I24" s="13"/>
      <c r="J24" s="13"/>
      <c r="K24" s="13"/>
    </row>
    <row r="25" ht="57" spans="1:11">
      <c r="A25" s="13" t="s">
        <v>697</v>
      </c>
      <c r="B25" s="14" t="str">
        <f>_xlfn.TEXTJOIN(CHAR(10),,Scenario!A19,Scenario!C19)</f>
        <v>TS010
Validate the working of 'Shopping Cart page' functionality</v>
      </c>
      <c r="C25" s="15" t="s">
        <v>698</v>
      </c>
      <c r="D25" s="15" t="s">
        <v>662</v>
      </c>
      <c r="E25" s="15" t="s">
        <v>699</v>
      </c>
      <c r="F25" s="13" t="s">
        <v>700</v>
      </c>
      <c r="G25" s="15" t="s">
        <v>701</v>
      </c>
      <c r="H25" s="13"/>
      <c r="I25" s="13"/>
      <c r="J25" s="13"/>
      <c r="K25" s="13"/>
    </row>
    <row r="26" ht="57" spans="1:11">
      <c r="A26" s="13" t="s">
        <v>702</v>
      </c>
      <c r="B26" s="14" t="str">
        <f>_xlfn.TEXTJOIN(CHAR(10),,Scenario!A19,Scenario!C19)</f>
        <v>TS010
Validate the working of 'Shopping Cart page' functionality</v>
      </c>
      <c r="C26" s="15" t="s">
        <v>703</v>
      </c>
      <c r="D26" s="15" t="s">
        <v>662</v>
      </c>
      <c r="E26" s="15" t="s">
        <v>699</v>
      </c>
      <c r="F26" s="13" t="s">
        <v>704</v>
      </c>
      <c r="G26" s="15" t="s">
        <v>705</v>
      </c>
      <c r="H26" s="13"/>
      <c r="I26" s="13"/>
      <c r="J26" s="13"/>
      <c r="K26" s="13"/>
    </row>
    <row r="27" ht="57" spans="1:11">
      <c r="A27" s="13" t="s">
        <v>706</v>
      </c>
      <c r="B27" s="14" t="str">
        <f>_xlfn.TEXTJOIN(CHAR(10),,Scenario!A19,Scenario!C19)</f>
        <v>TS010
Validate the working of 'Shopping Cart page' functionality</v>
      </c>
      <c r="C27" s="15" t="s">
        <v>707</v>
      </c>
      <c r="D27" s="15" t="s">
        <v>662</v>
      </c>
      <c r="E27" s="15" t="s">
        <v>699</v>
      </c>
      <c r="F27" s="13" t="s">
        <v>708</v>
      </c>
      <c r="G27" s="15" t="s">
        <v>705</v>
      </c>
      <c r="H27" s="13"/>
      <c r="I27" s="13"/>
      <c r="J27" s="13"/>
      <c r="K27" s="13"/>
    </row>
    <row r="28" ht="57" spans="1:11">
      <c r="A28" s="13" t="s">
        <v>709</v>
      </c>
      <c r="B28" s="14" t="str">
        <f>_xlfn.TEXTJOIN(CHAR(10),,Scenario!A19,Scenario!C19)</f>
        <v>TS010
Validate the working of 'Shopping Cart page' functionality</v>
      </c>
      <c r="C28" s="15" t="s">
        <v>710</v>
      </c>
      <c r="D28" s="15" t="s">
        <v>662</v>
      </c>
      <c r="E28" s="15" t="s">
        <v>711</v>
      </c>
      <c r="F28" s="15" t="s">
        <v>712</v>
      </c>
      <c r="G28" s="15" t="s">
        <v>713</v>
      </c>
      <c r="H28" s="13"/>
      <c r="I28" s="13"/>
      <c r="J28" s="13"/>
      <c r="K28" s="13"/>
    </row>
    <row r="29" ht="71.25" spans="1:11">
      <c r="A29" s="13" t="s">
        <v>714</v>
      </c>
      <c r="B29" s="14" t="str">
        <f>_xlfn.TEXTJOIN(CHAR(10),,Scenario!A19,Scenario!C19)</f>
        <v>TS010
Validate the working of 'Shopping Cart page' functionality</v>
      </c>
      <c r="C29" s="15" t="s">
        <v>715</v>
      </c>
      <c r="D29" s="15" t="s">
        <v>716</v>
      </c>
      <c r="E29" s="15" t="s">
        <v>717</v>
      </c>
      <c r="F29" s="13" t="s">
        <v>718</v>
      </c>
      <c r="G29" s="15" t="s">
        <v>719</v>
      </c>
      <c r="H29" s="13"/>
      <c r="I29" s="13"/>
      <c r="J29" s="13"/>
      <c r="K29" s="13"/>
    </row>
    <row r="30" ht="42.75" spans="1:11">
      <c r="A30" s="13" t="s">
        <v>720</v>
      </c>
      <c r="B30" s="14" t="str">
        <f>_xlfn.TEXTJOIN(CHAR(10),,Scenario!A19,Scenario!C19)</f>
        <v>TS010
Validate the working of 'Shopping Cart page' functionality</v>
      </c>
      <c r="C30" s="15" t="s">
        <v>721</v>
      </c>
      <c r="D30" s="15" t="s">
        <v>609</v>
      </c>
      <c r="E30" s="15" t="s">
        <v>722</v>
      </c>
      <c r="F30" s="13" t="s">
        <v>473</v>
      </c>
      <c r="G30" s="15" t="s">
        <v>723</v>
      </c>
      <c r="H30" s="13"/>
      <c r="I30" s="13"/>
      <c r="J30" s="13"/>
      <c r="K30" s="13"/>
    </row>
    <row r="31" ht="57" spans="1:11">
      <c r="A31" s="13" t="s">
        <v>724</v>
      </c>
      <c r="B31" s="14" t="str">
        <f>_xlfn.TEXTJOIN(CHAR(10),,Scenario!A19,Scenario!C19)</f>
        <v>TS010
Validate the working of 'Shopping Cart page' functionality</v>
      </c>
      <c r="C31" s="15" t="s">
        <v>725</v>
      </c>
      <c r="D31" s="15" t="s">
        <v>726</v>
      </c>
      <c r="E31" s="15" t="s">
        <v>722</v>
      </c>
      <c r="F31" s="13" t="s">
        <v>473</v>
      </c>
      <c r="G31" s="15" t="s">
        <v>727</v>
      </c>
      <c r="H31" s="13"/>
      <c r="I31" s="13"/>
      <c r="J31" s="13"/>
      <c r="K31" s="13"/>
    </row>
    <row r="32" ht="57" spans="1:11">
      <c r="A32" s="13" t="s">
        <v>728</v>
      </c>
      <c r="B32" s="14" t="str">
        <f>_xlfn.TEXTJOIN(CHAR(10),,Scenario!A19,Scenario!C19)</f>
        <v>TS010
Validate the working of 'Shopping Cart page' functionality</v>
      </c>
      <c r="C32" s="15" t="s">
        <v>729</v>
      </c>
      <c r="D32" s="15" t="s">
        <v>726</v>
      </c>
      <c r="E32" s="15" t="s">
        <v>730</v>
      </c>
      <c r="F32" s="13" t="s">
        <v>731</v>
      </c>
      <c r="G32" s="15" t="s">
        <v>732</v>
      </c>
      <c r="H32" s="13"/>
      <c r="I32" s="13"/>
      <c r="J32" s="13"/>
      <c r="K32" s="13"/>
    </row>
    <row r="33" ht="57" spans="1:11">
      <c r="A33" s="13" t="s">
        <v>733</v>
      </c>
      <c r="B33" s="14" t="str">
        <f>_xlfn.TEXTJOIN(CHAR(10),,Scenario!A19,Scenario!C19)</f>
        <v>TS010
Validate the working of 'Shopping Cart page' functionality</v>
      </c>
      <c r="C33" s="15" t="s">
        <v>734</v>
      </c>
      <c r="D33" s="15" t="s">
        <v>726</v>
      </c>
      <c r="E33" s="15" t="s">
        <v>730</v>
      </c>
      <c r="F33" s="13" t="s">
        <v>735</v>
      </c>
      <c r="G33" s="15" t="s">
        <v>736</v>
      </c>
      <c r="H33" s="13"/>
      <c r="I33" s="13"/>
      <c r="J33" s="13"/>
      <c r="K33" s="13"/>
    </row>
    <row r="34" ht="42.75" spans="1:11">
      <c r="A34" s="13" t="s">
        <v>737</v>
      </c>
      <c r="B34" s="14" t="str">
        <f>_xlfn.TEXTJOIN(CHAR(10),,Scenario!A19,Scenario!C19)</f>
        <v>TS010
Validate the working of 'Shopping Cart page' functionality</v>
      </c>
      <c r="C34" s="15" t="s">
        <v>738</v>
      </c>
      <c r="D34" s="15" t="s">
        <v>609</v>
      </c>
      <c r="E34" s="13" t="s">
        <v>555</v>
      </c>
      <c r="F34" s="13" t="s">
        <v>473</v>
      </c>
      <c r="G34" s="15" t="s">
        <v>739</v>
      </c>
      <c r="H34" s="13"/>
      <c r="I34" s="13"/>
      <c r="J34" s="13"/>
      <c r="K34" s="13"/>
    </row>
    <row r="35" ht="42.75" spans="1:11">
      <c r="A35" s="13" t="s">
        <v>740</v>
      </c>
      <c r="B35" s="14" t="str">
        <f>_xlfn.TEXTJOIN(CHAR(10),,Scenario!A19,Scenario!C19)</f>
        <v>TS010
Validate the working of 'Shopping Cart page' functionality</v>
      </c>
      <c r="C35" s="15" t="s">
        <v>741</v>
      </c>
      <c r="D35" s="15" t="s">
        <v>609</v>
      </c>
      <c r="E35" s="13" t="s">
        <v>555</v>
      </c>
      <c r="F35" s="13" t="s">
        <v>473</v>
      </c>
      <c r="G35" s="13" t="s">
        <v>742</v>
      </c>
      <c r="H35" s="13"/>
      <c r="I35" s="13"/>
      <c r="J35" s="13"/>
      <c r="K35" s="13"/>
    </row>
    <row r="36" ht="42.75" spans="1:11">
      <c r="A36" s="13" t="s">
        <v>743</v>
      </c>
      <c r="B36" s="14" t="str">
        <f>_xlfn.TEXTJOIN(CHAR(10),,Scenario!A19,Scenario!C19)</f>
        <v>TS010
Validate the working of 'Shopping Cart page' functionality</v>
      </c>
      <c r="C36" s="15" t="s">
        <v>744</v>
      </c>
      <c r="D36" s="15" t="s">
        <v>609</v>
      </c>
      <c r="E36" s="15" t="s">
        <v>745</v>
      </c>
      <c r="F36" s="13" t="s">
        <v>473</v>
      </c>
      <c r="G36" s="13" t="s">
        <v>746</v>
      </c>
      <c r="H36" s="13"/>
      <c r="I36" s="13"/>
      <c r="J36" s="13"/>
      <c r="K36" s="13"/>
    </row>
    <row r="37" ht="42.75" spans="1:11">
      <c r="A37" s="13" t="s">
        <v>747</v>
      </c>
      <c r="B37" s="14" t="str">
        <f>_xlfn.TEXTJOIN(CHAR(10),,Scenario!A19,Scenario!C19)</f>
        <v>TS010
Validate the working of 'Shopping Cart page' functionality</v>
      </c>
      <c r="C37" s="15" t="s">
        <v>748</v>
      </c>
      <c r="D37" s="15" t="s">
        <v>609</v>
      </c>
      <c r="E37" s="15" t="s">
        <v>749</v>
      </c>
      <c r="F37" s="13" t="s">
        <v>473</v>
      </c>
      <c r="G37" s="13" t="s">
        <v>750</v>
      </c>
      <c r="H37" s="13"/>
      <c r="I37" s="13"/>
      <c r="J37" s="13"/>
      <c r="K37" s="13"/>
    </row>
  </sheetData>
  <dataValidations count="1">
    <dataValidation type="list" allowBlank="1" showInputMessage="1" showErrorMessage="1" sqref="D2">
      <formula1>"working,complete"</formula1>
    </dataValidation>
  </dataValidation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3"/>
  <sheetViews>
    <sheetView topLeftCell="A3" workbookViewId="0">
      <selection activeCell="D22" sqref="D22"/>
    </sheetView>
  </sheetViews>
  <sheetFormatPr defaultColWidth="9" defaultRowHeight="14.25"/>
  <cols>
    <col min="1" max="1" width="13.125" customWidth="1"/>
    <col min="2" max="2" width="56.625" style="1" customWidth="1"/>
    <col min="3" max="3" width="48.625" customWidth="1"/>
    <col min="4" max="4" width="36.25" customWidth="1"/>
    <col min="5" max="5" width="23.375" customWidth="1"/>
    <col min="6" max="6" width="13.25" customWidth="1"/>
    <col min="7" max="7" width="28.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134</v>
      </c>
      <c r="B1" s="10" t="s">
        <v>135</v>
      </c>
      <c r="C1" s="10" t="s">
        <v>136</v>
      </c>
      <c r="D1" s="4" t="s">
        <v>137</v>
      </c>
      <c r="E1" s="10" t="s">
        <v>138</v>
      </c>
      <c r="F1" s="4" t="s">
        <v>139</v>
      </c>
      <c r="G1" s="10" t="s">
        <v>140</v>
      </c>
      <c r="H1" s="4" t="s">
        <v>20</v>
      </c>
      <c r="I1" s="4" t="s">
        <v>22</v>
      </c>
      <c r="J1" s="4" t="s">
        <v>141</v>
      </c>
      <c r="K1" s="4" t="s">
        <v>142</v>
      </c>
    </row>
    <row r="2" ht="28.5" spans="1:11">
      <c r="A2" t="s">
        <v>751</v>
      </c>
      <c r="B2" s="7" t="str">
        <f>_xlfn.TEXTJOIN(CHAR(10),,Scenario!A17,Scenario!C17)</f>
        <v>TS008
Validate the working of 'Add to cart' functionality</v>
      </c>
      <c r="C2" t="s">
        <v>752</v>
      </c>
    </row>
    <row r="3" ht="28.5" spans="1:11">
      <c r="A3" t="s">
        <v>753</v>
      </c>
      <c r="B3" s="7" t="str">
        <f>_xlfn.TEXTJOIN(CHAR(10),,Scenario!A17,Scenario!C17)</f>
        <v>TS008
Validate the working of 'Add to cart' functionality</v>
      </c>
      <c r="C3" t="s">
        <v>754</v>
      </c>
    </row>
    <row r="4" ht="28.5" spans="1:11">
      <c r="A4" t="s">
        <v>755</v>
      </c>
      <c r="B4" s="7" t="str">
        <f>_xlfn.TEXTJOIN(CHAR(10),,Scenario!A17,Scenario!C17)</f>
        <v>TS008
Validate the working of 'Add to cart' functionality</v>
      </c>
      <c r="C4" t="s">
        <v>756</v>
      </c>
    </row>
    <row r="5" ht="28.5" spans="1:11">
      <c r="A5" t="s">
        <v>757</v>
      </c>
      <c r="B5" s="7" t="str">
        <f>_xlfn.TEXTJOIN(CHAR(10),,Scenario!A17,Scenario!C17)</f>
        <v>TS008
Validate the working of 'Add to cart' functionality</v>
      </c>
      <c r="C5" t="s">
        <v>758</v>
      </c>
    </row>
    <row r="6" ht="28.5" spans="1:11">
      <c r="A6" t="s">
        <v>759</v>
      </c>
      <c r="B6" s="7" t="str">
        <f>_xlfn.TEXTJOIN(CHAR(10),,Scenario!A17,Scenario!C17)</f>
        <v>TS008
Validate the working of 'Add to cart' functionality</v>
      </c>
      <c r="C6" t="s">
        <v>760</v>
      </c>
    </row>
    <row r="7" ht="28.5" spans="1:11">
      <c r="A7" t="s">
        <v>761</v>
      </c>
      <c r="B7" s="7" t="str">
        <f>_xlfn.TEXTJOIN(CHAR(10),,Scenario!A17,Scenario!C17)</f>
        <v>TS008
Validate the working of 'Add to cart' functionality</v>
      </c>
      <c r="C7" t="s">
        <v>762</v>
      </c>
    </row>
    <row r="8" ht="28.5" spans="1:11">
      <c r="A8" t="s">
        <v>763</v>
      </c>
      <c r="B8" s="7" t="str">
        <f>_xlfn.TEXTJOIN(CHAR(10),,Scenario!A17,Scenario!C17)</f>
        <v>TS008
Validate the working of 'Add to cart' functionality</v>
      </c>
      <c r="C8" t="s">
        <v>764</v>
      </c>
    </row>
    <row r="9" ht="28.5" spans="1:11">
      <c r="A9" t="s">
        <v>765</v>
      </c>
      <c r="B9" s="7" t="str">
        <f>_xlfn.TEXTJOIN(CHAR(10),,Scenario!A17,Scenario!C17)</f>
        <v>TS008
Validate the working of 'Add to cart' functionality</v>
      </c>
      <c r="C9" t="s">
        <v>766</v>
      </c>
    </row>
    <row r="10" ht="28.5" spans="1:11">
      <c r="A10" t="s">
        <v>767</v>
      </c>
      <c r="B10" s="7" t="str">
        <f>_xlfn.TEXTJOIN(CHAR(10),,Scenario!A17,Scenario!C17)</f>
        <v>TS008
Validate the working of 'Add to cart' functionality</v>
      </c>
      <c r="C10" t="s">
        <v>768</v>
      </c>
    </row>
    <row r="11" ht="28.5" spans="1:11">
      <c r="A11" t="s">
        <v>769</v>
      </c>
      <c r="B11" s="7" t="str">
        <f>_xlfn.TEXTJOIN(CHAR(10),,Scenario!A17,Scenario!C17)</f>
        <v>TS008
Validate the working of 'Add to cart' functionality</v>
      </c>
      <c r="C11" t="s">
        <v>770</v>
      </c>
    </row>
    <row r="12" spans="1:11">
      <c r="B12" s="7"/>
    </row>
    <row r="13" spans="1:11">
      <c r="B13" s="7"/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1"/>
  <sheetViews>
    <sheetView workbookViewId="0">
      <selection activeCell="D22" sqref="D22"/>
    </sheetView>
  </sheetViews>
  <sheetFormatPr defaultColWidth="9" defaultRowHeight="14.25"/>
  <cols>
    <col min="1" max="1" width="13.125" customWidth="1"/>
    <col min="2" max="2" width="58.5" style="7" customWidth="1"/>
    <col min="3" max="3" width="48.625" customWidth="1"/>
    <col min="4" max="4" width="36.25" customWidth="1"/>
    <col min="5" max="5" width="23.375" customWidth="1"/>
    <col min="6" max="6" width="13.25" customWidth="1"/>
    <col min="7" max="7" width="28.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134</v>
      </c>
      <c r="B1" s="10" t="s">
        <v>135</v>
      </c>
      <c r="C1" s="10" t="s">
        <v>136</v>
      </c>
      <c r="D1" s="4" t="s">
        <v>137</v>
      </c>
      <c r="E1" s="10" t="s">
        <v>138</v>
      </c>
      <c r="F1" s="4" t="s">
        <v>139</v>
      </c>
      <c r="G1" s="10" t="s">
        <v>140</v>
      </c>
      <c r="H1" s="4" t="s">
        <v>20</v>
      </c>
      <c r="I1" s="4" t="s">
        <v>22</v>
      </c>
      <c r="J1" s="4" t="s">
        <v>141</v>
      </c>
      <c r="K1" s="4" t="s">
        <v>142</v>
      </c>
    </row>
    <row r="2" ht="28.5" spans="1:11">
      <c r="A2" t="s">
        <v>771</v>
      </c>
      <c r="B2" s="7" t="str">
        <f>_xlfn.TEXTJOIN(CHAR(10),,Scenario!A18,Scenario!C18)</f>
        <v>TS009
Validate the working of 'Wish List' option</v>
      </c>
      <c r="C2" t="s">
        <v>772</v>
      </c>
    </row>
    <row r="3" ht="28.5" spans="1:11">
      <c r="A3" t="s">
        <v>773</v>
      </c>
      <c r="B3" s="7" t="str">
        <f>_xlfn.TEXTJOIN(CHAR(10),,Scenario!A18,Scenario!C18)</f>
        <v>TS009
Validate the working of 'Wish List' option</v>
      </c>
      <c r="C3" t="s">
        <v>774</v>
      </c>
    </row>
    <row r="4" ht="28.5" spans="1:11">
      <c r="A4" t="s">
        <v>775</v>
      </c>
      <c r="B4" s="7" t="str">
        <f>_xlfn.TEXTJOIN(CHAR(10),,Scenario!A18,Scenario!C18)</f>
        <v>TS009
Validate the working of 'Wish List' option</v>
      </c>
      <c r="C4" t="s">
        <v>776</v>
      </c>
    </row>
    <row r="5" ht="28.5" spans="1:11">
      <c r="A5" t="s">
        <v>777</v>
      </c>
      <c r="B5" s="7" t="str">
        <f>_xlfn.TEXTJOIN(CHAR(10),,Scenario!A18,Scenario!C18)</f>
        <v>TS009
Validate the working of 'Wish List' option</v>
      </c>
      <c r="C5" t="s">
        <v>778</v>
      </c>
    </row>
    <row r="6" ht="28.5" spans="1:11">
      <c r="A6" t="s">
        <v>779</v>
      </c>
      <c r="B6" s="7" t="str">
        <f>_xlfn.TEXTJOIN(CHAR(10),,Scenario!A18,Scenario!C18)</f>
        <v>TS009
Validate the working of 'Wish List' option</v>
      </c>
      <c r="C6" t="s">
        <v>780</v>
      </c>
    </row>
    <row r="7" ht="28.5" spans="1:11">
      <c r="A7" t="s">
        <v>781</v>
      </c>
      <c r="B7" s="7" t="str">
        <f>_xlfn.TEXTJOIN(CHAR(10),,Scenario!A18,Scenario!C18)</f>
        <v>TS009
Validate the working of 'Wish List' option</v>
      </c>
      <c r="C7" t="s">
        <v>782</v>
      </c>
    </row>
    <row r="8" ht="28.5" spans="1:11">
      <c r="A8" t="s">
        <v>783</v>
      </c>
      <c r="B8" s="7" t="str">
        <f>_xlfn.TEXTJOIN(CHAR(10),,Scenario!A18,Scenario!C18)</f>
        <v>TS009
Validate the working of 'Wish List' option</v>
      </c>
      <c r="C8" t="s">
        <v>784</v>
      </c>
    </row>
    <row r="9" ht="28.5" spans="1:11">
      <c r="A9" t="s">
        <v>785</v>
      </c>
      <c r="B9" s="7" t="str">
        <f>_xlfn.TEXTJOIN(CHAR(10),,Scenario!A18,Scenario!C18)</f>
        <v>TS009
Validate the working of 'Wish List' option</v>
      </c>
      <c r="C9" t="s">
        <v>786</v>
      </c>
    </row>
    <row r="10" ht="28.5" spans="1:11">
      <c r="A10" t="s">
        <v>787</v>
      </c>
      <c r="B10" s="7" t="str">
        <f>_xlfn.TEXTJOIN(CHAR(10),,Scenario!A18,Scenario!C18)</f>
        <v>TS009
Validate the working of 'Wish List' option</v>
      </c>
      <c r="C10" t="s">
        <v>788</v>
      </c>
    </row>
    <row r="11" ht="28.5" spans="1:11">
      <c r="A11" t="s">
        <v>789</v>
      </c>
      <c r="B11" s="7" t="str">
        <f>_xlfn.TEXTJOIN(CHAR(10),,Scenario!A18,Scenario!C18)</f>
        <v>TS009
Validate the working of 'Wish List' option</v>
      </c>
      <c r="C11" t="s">
        <v>790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XFD4"/>
  <sheetViews>
    <sheetView workbookViewId="0">
      <selection activeCell="G27" sqref="G27"/>
    </sheetView>
  </sheetViews>
  <sheetFormatPr defaultColWidth="9" defaultRowHeight="14.25" outlineLevelRow="3"/>
  <cols>
    <col min="1" max="1" width="13.125" customWidth="1"/>
    <col min="2" max="2" width="31.875" style="1" customWidth="1"/>
    <col min="3" max="3" width="23.125" style="3" customWidth="1"/>
    <col min="4" max="4" width="30.875" style="3" customWidth="1"/>
    <col min="5" max="5" width="34.75" style="3" customWidth="1"/>
    <col min="6" max="6" width="12.625" customWidth="1"/>
    <col min="7" max="7" width="64.8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s="1" customFormat="1" ht="15" spans="1:11">
      <c r="A1" s="4" t="s">
        <v>134</v>
      </c>
      <c r="B1" s="4" t="s">
        <v>135</v>
      </c>
      <c r="C1" s="4" t="s">
        <v>136</v>
      </c>
      <c r="D1" s="4" t="s">
        <v>137</v>
      </c>
      <c r="E1" s="4" t="s">
        <v>138</v>
      </c>
      <c r="F1" s="4" t="s">
        <v>139</v>
      </c>
      <c r="G1" s="4" t="s">
        <v>140</v>
      </c>
      <c r="H1" s="4" t="s">
        <v>20</v>
      </c>
      <c r="I1" s="4" t="s">
        <v>22</v>
      </c>
      <c r="J1" s="4" t="s">
        <v>141</v>
      </c>
      <c r="K1" s="4" t="s">
        <v>142</v>
      </c>
    </row>
    <row r="2" s="2" customFormat="1" spans="1:11">
      <c r="A2" s="2" t="s">
        <v>276</v>
      </c>
      <c r="B2" s="5"/>
      <c r="C2" s="6"/>
      <c r="D2" s="6"/>
      <c r="E2" s="6"/>
    </row>
    <row r="3" ht="42.75" spans="1:11">
      <c r="A3" t="s">
        <v>791</v>
      </c>
      <c r="B3" s="7" t="str">
        <f>_xlfn.TEXTJOIN(CHAR(10),,Scenario!A42,Scenario!C42)</f>
        <v>TS033
Validate the Application functionality for different currency' functionality</v>
      </c>
      <c r="C3" s="3" t="s">
        <v>792</v>
      </c>
      <c r="D3" s="3" t="s">
        <v>793</v>
      </c>
      <c r="E3" s="8" t="s">
        <v>794</v>
      </c>
      <c r="F3" s="9" t="s">
        <v>795</v>
      </c>
      <c r="G3" t="s">
        <v>796</v>
      </c>
    </row>
    <row r="4" ht="42.75" spans="1:11">
      <c r="A4" t="s">
        <v>797</v>
      </c>
      <c r="B4" s="7" t="str">
        <f>_xlfn.TEXTJOIN(CHAR(10),,Scenario!A42,Scenario!C42)</f>
        <v>TS033
Validate the Application functionality for different currency' functionality</v>
      </c>
      <c r="C4" s="3" t="s">
        <v>798</v>
      </c>
      <c r="D4" s="3" t="s">
        <v>793</v>
      </c>
      <c r="E4" s="8" t="s">
        <v>799</v>
      </c>
      <c r="F4" s="1" t="s">
        <v>282</v>
      </c>
      <c r="G4" t="s">
        <v>800</v>
      </c>
    </row>
  </sheetData>
  <mergeCells count="1">
    <mergeCell ref="A2:XFD2"/>
  </mergeCells>
  <hyperlinks>
    <hyperlink ref="A2:XFD2" location="Scenario!A7" display="&lt;&lt;Test Scenario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Version</vt:lpstr>
      <vt:lpstr>Todo List</vt:lpstr>
      <vt:lpstr>Defect</vt:lpstr>
      <vt:lpstr>RTM</vt:lpstr>
      <vt:lpstr>Scenario</vt:lpstr>
      <vt:lpstr>UserAccountAccess&amp;Validation</vt:lpstr>
      <vt:lpstr>Search</vt:lpstr>
      <vt:lpstr>Product Comparison</vt:lpstr>
      <vt:lpstr>HomePage</vt:lpstr>
      <vt:lpstr>Top Menu</vt:lpstr>
      <vt:lpstr>Header</vt:lpstr>
      <vt:lpstr>Footer</vt:lpstr>
      <vt:lpstr>Product Pages</vt:lpstr>
      <vt:lpstr>Shopping Cart page</vt:lpstr>
      <vt:lpstr>AddToCart</vt:lpstr>
      <vt:lpstr>WishList</vt:lpstr>
      <vt:lpstr>Currency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Winner</dc:creator>
  <cp:lastModifiedBy>Winner</cp:lastModifiedBy>
  <dcterms:created xsi:type="dcterms:W3CDTF">2026-04-01T08:10:00Z</dcterms:created>
  <dcterms:modified xsi:type="dcterms:W3CDTF">2026-04-20T10:11:56Z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017626F78BCA4CFE88713511D32DB904_11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