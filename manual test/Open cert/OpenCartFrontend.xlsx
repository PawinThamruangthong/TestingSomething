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1580" tabRatio="678" firstSheet="2" activeTab="6"/>
  </bookViews>
  <sheets>
    <sheet name="Version" sheetId="10" r:id="rId1"/>
    <sheet name="Todo List" sheetId="23" r:id="rId2"/>
    <sheet name="Defect" sheetId="20" r:id="rId3"/>
    <sheet name="RTM" sheetId="13" r:id="rId4"/>
    <sheet name="Scenario" sheetId="1" r:id="rId5"/>
    <sheet name="UserAccountAccess&amp;Validation" sheetId="5" r:id="rId6"/>
    <sheet name="UserFeature" sheetId="24" r:id="rId7"/>
    <sheet name="Search" sheetId="12" r:id="rId8"/>
    <sheet name="Product Comparison" sheetId="14" r:id="rId9"/>
    <sheet name="HomePage" sheetId="3" r:id="rId10"/>
    <sheet name="Top Menu" sheetId="6" r:id="rId11"/>
    <sheet name="Header" sheetId="4" r:id="rId12"/>
    <sheet name="Footer" sheetId="7" r:id="rId13"/>
    <sheet name="Product Pages" sheetId="8" r:id="rId14"/>
    <sheet name="Shopping Cart page" sheetId="11" r:id="rId15"/>
    <sheet name="AddToCart" sheetId="15" r:id="rId16"/>
    <sheet name="WishList" sheetId="16" r:id="rId17"/>
    <sheet name="Currency" sheetId="2" r:id="rId18"/>
    <sheet name="Checkout" sheetId="25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CD6BF44FE934B62BEF4AF54A6DF501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15350" y="1114425"/>
          <a:ext cx="9761220" cy="3956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BA59952DF61247A7B7CF088F37895BD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67200" y="3823335"/>
          <a:ext cx="13144500" cy="4705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D5E4F8FF524944B6A0BD069F07AF88C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839575" y="4840605"/>
          <a:ext cx="5705475" cy="1295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5AE021B245F644E3960B009A03D090E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219700" y="5078730"/>
          <a:ext cx="12839700" cy="20288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<sst xmlns="http://schemas.openxmlformats.org/spreadsheetml/2006/main" count="2501" uniqueCount="1676">
  <si>
    <t>Version</t>
  </si>
  <si>
    <t>Detail</t>
  </si>
  <si>
    <t>start date</t>
  </si>
  <si>
    <t>Create test scenario &amp; test case based from FRS only.</t>
  </si>
  <si>
    <t>Update test scenario &amp; test case based from demo</t>
  </si>
  <si>
    <t>TestCase</t>
  </si>
  <si>
    <t>UserAccountAccess&amp;Validation</t>
  </si>
  <si>
    <t>Only Add TC title need to complete the rest</t>
  </si>
  <si>
    <t>Search</t>
  </si>
  <si>
    <t>Product Comparison</t>
  </si>
  <si>
    <t>AddToCart</t>
  </si>
  <si>
    <t>WishList</t>
  </si>
  <si>
    <t>Checkout</t>
  </si>
  <si>
    <t>blocked on payment method</t>
  </si>
  <si>
    <t>AccountFeature</t>
  </si>
  <si>
    <t>Footer Feature</t>
  </si>
  <si>
    <t>Defect</t>
  </si>
  <si>
    <t>Need formatting</t>
  </si>
  <si>
    <t>Need to add details,picture reference on defect</t>
  </si>
  <si>
    <t>Defect ID</t>
  </si>
  <si>
    <t>Detected Date</t>
  </si>
  <si>
    <t>Description/Summary</t>
  </si>
  <si>
    <t>Step to Reproduce</t>
  </si>
  <si>
    <t>Expected Result</t>
  </si>
  <si>
    <t>Actual Result</t>
  </si>
  <si>
    <t>Severity</t>
  </si>
  <si>
    <t>Priority</t>
  </si>
  <si>
    <t>Screenshot</t>
  </si>
  <si>
    <t>Status</t>
  </si>
  <si>
    <t>Def-001</t>
  </si>
  <si>
    <t>frequently 522 response</t>
  </si>
  <si>
    <t>1. open application URL</t>
  </si>
  <si>
    <t>User enter homepage</t>
  </si>
  <si>
    <t>522 error</t>
  </si>
  <si>
    <t>Critical</t>
  </si>
  <si>
    <t>P0 (High)</t>
  </si>
  <si>
    <t>Occasionaly occurs</t>
  </si>
  <si>
    <t>Def-002</t>
  </si>
  <si>
    <t>All product is out of stock</t>
  </si>
  <si>
    <t xml:space="preserve">1. open application URL
2. add product to cart
3. proceed to checkout
4. set quantity to 1 or more
5. click checkout
</t>
  </si>
  <si>
    <t>proceed to checkout page</t>
  </si>
  <si>
    <t>no single item available to proceed</t>
  </si>
  <si>
    <t>low</t>
  </si>
  <si>
    <t>fixed</t>
  </si>
  <si>
    <t>Def-003</t>
  </si>
  <si>
    <t>Need letter limitation</t>
  </si>
  <si>
    <t>1. open application URL
2. Input long text to search tab
3. click search</t>
  </si>
  <si>
    <t>should not accept long input which can cause stress to server</t>
  </si>
  <si>
    <t>Always accept user input and conduct searches, but occasionally limit the search function for a set time period.</t>
  </si>
  <si>
    <t>found</t>
  </si>
  <si>
    <t>Def-004</t>
  </si>
  <si>
    <t>No payment available</t>
  </si>
  <si>
    <t>1. open application
2. login
3. add product to cart
4. check out
5. select payment method</t>
  </si>
  <si>
    <t>have selectable list of payment method available</t>
  </si>
  <si>
    <t>got error message,no available payment method can not continue transaction</t>
  </si>
  <si>
    <t>Def-005</t>
  </si>
  <si>
    <t>nothing happen after click choose payment method when not logged in</t>
  </si>
  <si>
    <t>1. open application
2. add product to cart
3. check out
4. select payment method</t>
  </si>
  <si>
    <t>not thing happen</t>
  </si>
  <si>
    <t>high</t>
  </si>
  <si>
    <t>Def-006</t>
  </si>
  <si>
    <t>when added out of stock item to cart on wish list + show error message</t>
  </si>
  <si>
    <t>1. open application
2. add out of stock product to wish list
3. open wish list page
4. click add to cart button on added product</t>
  </si>
  <si>
    <t>should not be able product to cart / not shown error message</t>
  </si>
  <si>
    <t>successfully added product to cart and have error message appear</t>
  </si>
  <si>
    <t>Traceablility Matrix</t>
  </si>
  <si>
    <t>Req. ID</t>
  </si>
  <si>
    <t>Req Desc</t>
  </si>
  <si>
    <t>Scenario</t>
  </si>
  <si>
    <t>TC ID</t>
  </si>
  <si>
    <t>TC Desc</t>
  </si>
  <si>
    <t>Test Result</t>
  </si>
  <si>
    <t>Defect Id</t>
  </si>
  <si>
    <t>Defect Status</t>
  </si>
  <si>
    <t>Open Cart Frontend</t>
  </si>
  <si>
    <t>URL</t>
  </si>
  <si>
    <t>https://demo.opencart.com/</t>
  </si>
  <si>
    <t>Requirement</t>
  </si>
  <si>
    <t>https://drive.google.com/drive/folders/1nBs25k9jTb06qrV-5fTC75gtPOR6uW4V</t>
  </si>
  <si>
    <t>* 1.0 create test scenario/test case only from FRS only</t>
  </si>
  <si>
    <t>Test Scenario ID</t>
  </si>
  <si>
    <t>Reference</t>
  </si>
  <si>
    <t>Test Scenario Description</t>
  </si>
  <si>
    <t>Number of Test Cases</t>
  </si>
  <si>
    <t>defect</t>
  </si>
  <si>
    <t>Note</t>
  </si>
  <si>
    <t>TS001</t>
  </si>
  <si>
    <t>Demo</t>
  </si>
  <si>
    <t>Validate the working of 'Register an account' functionality</t>
  </si>
  <si>
    <t>P0</t>
  </si>
  <si>
    <t>TS002</t>
  </si>
  <si>
    <t>Validate the working of 'Login' functionality</t>
  </si>
  <si>
    <t>TS003</t>
  </si>
  <si>
    <t>Validate the working of 'Logout' functionality</t>
  </si>
  <si>
    <t>TS004</t>
  </si>
  <si>
    <t>Validate the working of 'Forgot Password' functionality</t>
  </si>
  <si>
    <t>P2</t>
  </si>
  <si>
    <t>TS005</t>
  </si>
  <si>
    <t>FRS</t>
  </si>
  <si>
    <t>Validate the working of 'Search' functionality</t>
  </si>
  <si>
    <t>P1</t>
  </si>
  <si>
    <t>TS006</t>
  </si>
  <si>
    <t>Validate the working of 'Product compare' functionality</t>
  </si>
  <si>
    <t>TS007</t>
  </si>
  <si>
    <t>Validate the working of 'Product page' functionality</t>
  </si>
  <si>
    <t>TS008</t>
  </si>
  <si>
    <t>Validate the working of 'Add to cart' functionality</t>
  </si>
  <si>
    <t>TS009</t>
  </si>
  <si>
    <t>Validate the working of 'Wish List' option</t>
  </si>
  <si>
    <t>P4</t>
  </si>
  <si>
    <t>TS010</t>
  </si>
  <si>
    <t>Validate the working of 'Shopping Cart page' functionality</t>
  </si>
  <si>
    <t>TS011</t>
  </si>
  <si>
    <t>Validate the working of 'Home page' functionality</t>
  </si>
  <si>
    <t>TS012</t>
  </si>
  <si>
    <t>Validate the working of 'Checkout' functionality</t>
  </si>
  <si>
    <t>TS013</t>
  </si>
  <si>
    <t>Validate the working of 'My Account' functionality</t>
  </si>
  <si>
    <t>P3</t>
  </si>
  <si>
    <t>TS014</t>
  </si>
  <si>
    <t>Validate the working of 'My Account &gt; Account Information' functionality</t>
  </si>
  <si>
    <t>TS015</t>
  </si>
  <si>
    <t>Validate the working of 'My Account &gt; Change Password' functionality</t>
  </si>
  <si>
    <t>TS016</t>
  </si>
  <si>
    <t>Validate the working of 'My Account Address Book' functionality</t>
  </si>
  <si>
    <t>TS017</t>
  </si>
  <si>
    <t>Validate the working of 'My Order &gt; Order History' functionality</t>
  </si>
  <si>
    <t>TS018</t>
  </si>
  <si>
    <t>Validate the working of 'My Orders &gt; Order Information' functionality</t>
  </si>
  <si>
    <t>TS019</t>
  </si>
  <si>
    <t>Validate the working of 'My Orders &gt; Product Returns' functionality</t>
  </si>
  <si>
    <t>TS020</t>
  </si>
  <si>
    <t>Validate the working of 'My Order &gt; Downloads' functionality</t>
  </si>
  <si>
    <t>TS021</t>
  </si>
  <si>
    <t>Validate the working of 'My Orders &gt; Reward Points' functionality</t>
  </si>
  <si>
    <t>TS022</t>
  </si>
  <si>
    <t>Validate the working of 'My Orders &gt; Returned Request' functionality</t>
  </si>
  <si>
    <t>TS023</t>
  </si>
  <si>
    <t>Validate the working of 'My Order &gt; Your Transactions' functionality</t>
  </si>
  <si>
    <t>TS024</t>
  </si>
  <si>
    <t>Validate the working of 'My Order &gt; Recurring Payments' functionality</t>
  </si>
  <si>
    <t>TS025</t>
  </si>
  <si>
    <t>Validate the working of 'Affiliate' functionality</t>
  </si>
  <si>
    <t>TS026</t>
  </si>
  <si>
    <t>Validate the working of 'Newsletter' functionality</t>
  </si>
  <si>
    <t>TS027</t>
  </si>
  <si>
    <t>Validate the working of 'Contact Us' functionality</t>
  </si>
  <si>
    <t>TS028</t>
  </si>
  <si>
    <t>Validate the working of 'Gift' functionality</t>
  </si>
  <si>
    <t>TS029</t>
  </si>
  <si>
    <t>Validate the working of 'Special Offer' functionality</t>
  </si>
  <si>
    <t>TS030</t>
  </si>
  <si>
    <t>Validate the working of 'Header' options' functionality</t>
  </si>
  <si>
    <t>TS031</t>
  </si>
  <si>
    <t>Validate the working of 'Top Menu' options' functionality</t>
  </si>
  <si>
    <t>TS032</t>
  </si>
  <si>
    <t>Validate the working of 'Footer' options' functionality</t>
  </si>
  <si>
    <t>TS033</t>
  </si>
  <si>
    <t>Validate the Application functionality for different currency</t>
  </si>
  <si>
    <t xml:space="preserve">Total = </t>
  </si>
  <si>
    <t>Test Case ID</t>
  </si>
  <si>
    <t>Test Scenario</t>
  </si>
  <si>
    <t>Test Case Title</t>
  </si>
  <si>
    <t>Pre-requisites</t>
  </si>
  <si>
    <t>Test Steps</t>
  </si>
  <si>
    <t>Test Data</t>
  </si>
  <si>
    <t>Expected Result (ER)</t>
  </si>
  <si>
    <t>Result</t>
  </si>
  <si>
    <t>Comments</t>
  </si>
  <si>
    <t>TC_ACC_001</t>
  </si>
  <si>
    <t>Validate login - structure</t>
  </si>
  <si>
    <t>Open application,
enter login page</t>
  </si>
  <si>
    <t>1. Validate result (ER-1)</t>
  </si>
  <si>
    <t>Not applicable</t>
  </si>
  <si>
    <t>Page should contain header,new customer section,login section, account sub-menu section</t>
  </si>
  <si>
    <t>TC_ACC_002</t>
  </si>
  <si>
    <t>Validate user - access - header</t>
  </si>
  <si>
    <t>Open application,On any page of the application</t>
  </si>
  <si>
    <t>1. Click my account on header
2. Click Login button
3. Validate result (ER-1)</t>
  </si>
  <si>
    <t>Should redirect user to account page</t>
  </si>
  <si>
    <t>TC_ACC_003</t>
  </si>
  <si>
    <t>Validate login - access - check out</t>
  </si>
  <si>
    <t>Open application, added item to cart, proceed to checkout, not logged in</t>
  </si>
  <si>
    <t>1. Click 'check out' button
2. Validate result (ER-1)
3. Click login link on message
4. Validate result (ER-2)</t>
  </si>
  <si>
    <t>1. Should show message "please login or create an account before continue"
2. Should redirect user to account page</t>
  </si>
  <si>
    <t>TC_ACC_004</t>
  </si>
  <si>
    <t>Validate login - access - wish list</t>
  </si>
  <si>
    <t>Open application,not logged in</t>
  </si>
  <si>
    <t>1. Select item to add to wish list -&lt;Refer test data&gt;
2. Validate message (ER-1)
3. Click login link on message
4. Validate result (ER-2)</t>
  </si>
  <si>
    <t>Product : iMac</t>
  </si>
  <si>
    <t>1. Should show message "You must login or create an account to save "iMac" to your wish list! "
2. Should redirect user to login page</t>
  </si>
  <si>
    <t>TC_ACC_005</t>
  </si>
  <si>
    <t>Validate Login - email required field</t>
  </si>
  <si>
    <t>Open application, enter login page</t>
  </si>
  <si>
    <t>1. Click 'log in' button
2. Validate result (ER-1),(ER-2)</t>
  </si>
  <si>
    <t>1. Should not accept input and return with warning "Warning : please enter an email"
2. should show " * " symbol after text "email"</t>
  </si>
  <si>
    <t xml:space="preserve">Accept null data and continue the process
Result in " Warning: No match for E-Mail Address and/or Password."
Have correct symbol shown
</t>
  </si>
  <si>
    <t>TC_ACC_006</t>
  </si>
  <si>
    <t>Validate Login - email valid</t>
  </si>
  <si>
    <t>1. Enter an email -&lt;Refer test data&gt; 
2. Click 'log in' button
3. Validate result (ER-1)</t>
  </si>
  <si>
    <t>email : test@gmail.com</t>
  </si>
  <si>
    <t>Should accept test data and check with backend</t>
  </si>
  <si>
    <t>TC_ACC_007</t>
  </si>
  <si>
    <t>Validate Login - email wrong format</t>
  </si>
  <si>
    <t>1. enter an email -&lt;Refer test data&gt; 
2. Click 'log in' button
3. Validate result (ER-1)</t>
  </si>
  <si>
    <t>email: test_gmail.com</t>
  </si>
  <si>
    <t>Should not accept data and return with warning</t>
  </si>
  <si>
    <t>Accept data and continue the process</t>
  </si>
  <si>
    <t>TC_ACC_008</t>
  </si>
  <si>
    <t>Validate Login - email boundary - below</t>
  </si>
  <si>
    <t>email : any input that below 4 characters</t>
  </si>
  <si>
    <t>accept when input is at least 6 characters</t>
  </si>
  <si>
    <t>Should only accept 4-20 characters input</t>
  </si>
  <si>
    <t>TC_ACC_009</t>
  </si>
  <si>
    <t>Validate Login - email boundary - above</t>
  </si>
  <si>
    <t>email : any input that over 255 characters</t>
  </si>
  <si>
    <t>do not accept when input is over 254 characters input</t>
  </si>
  <si>
    <t>TC_ACC_010</t>
  </si>
  <si>
    <t>Validate Login - password required field</t>
  </si>
  <si>
    <t>1. Click 'log in' button
2. Validate result (ER-1)</t>
  </si>
  <si>
    <t>Should not accept input and return with warning "Warning : please enter a password"</t>
  </si>
  <si>
    <t>Accept null data and continue the process
Result in " Warning: No match for E-Mail Address and/or Password."</t>
  </si>
  <si>
    <t>TC_ACC_011</t>
  </si>
  <si>
    <t>Validate Login - password valid</t>
  </si>
  <si>
    <t>1. Enter password -&lt;Refer test data&gt;
2. Click 'log in' button
3. Validate result (ER-1)</t>
  </si>
  <si>
    <t>password : test</t>
  </si>
  <si>
    <t>Should accept the password</t>
  </si>
  <si>
    <t>TC_ACC_012</t>
  </si>
  <si>
    <t>Validate Login - password invalid</t>
  </si>
  <si>
    <t>password : รหัสผ่าน</t>
  </si>
  <si>
    <t>Should not accept the password and return with  warning "Warning: No match for E-Mail Address and/or Password."</t>
  </si>
  <si>
    <t>Did not accept the password and return correct warning</t>
  </si>
  <si>
    <t>TC_ACC_013</t>
  </si>
  <si>
    <t>Validate Login - password boundary - below</t>
  </si>
  <si>
    <t>password : pas</t>
  </si>
  <si>
    <t>Should not accept the password but still return with  warning "Warning: No match for E-Mail Address and/or Password."</t>
  </si>
  <si>
    <t>TC_ACC_014</t>
  </si>
  <si>
    <t>Validate Login - password boundary - above</t>
  </si>
  <si>
    <t>password : any mixed characters that over 50 characters</t>
  </si>
  <si>
    <t>TC_ACC_015</t>
  </si>
  <si>
    <t>Validate Login - pass</t>
  </si>
  <si>
    <t>1. Enter email&amp;password -&lt;Refer test data&gt;
2. Click 'log in' button
3. Validate result (ER-1)</t>
  </si>
  <si>
    <t>email : test@gmail.com
password : test</t>
  </si>
  <si>
    <t>User should redirect to user page</t>
  </si>
  <si>
    <t>TC_ACC_016</t>
  </si>
  <si>
    <t>Validate Login - fail</t>
  </si>
  <si>
    <t>email : test@gmail.com
password : test1234</t>
  </si>
  <si>
    <t>Should fail the login and return with warning "Warning: No match for E-Mail Address and/or Password."</t>
  </si>
  <si>
    <t>Did not pass the login and return with correct warning</t>
  </si>
  <si>
    <t>TC_ACC_017</t>
  </si>
  <si>
    <t>Validate Register - access - header</t>
  </si>
  <si>
    <t>Open application, enter register page</t>
  </si>
  <si>
    <t>1. Click my account on header
2. Click register button
3. Validate result (ER-1)</t>
  </si>
  <si>
    <t>Should redirect user to register page</t>
  </si>
  <si>
    <t>TC_ACC_018</t>
  </si>
  <si>
    <t>Validate Register - access - wish list</t>
  </si>
  <si>
    <t>1. Select item to add to wish list -&lt;Refer test data&gt;
2. Validate message (ER-1)
3. Click register link on message
4. Validate result (ER-2)</t>
  </si>
  <si>
    <t>TC_ACC_019</t>
  </si>
  <si>
    <t>Validate Register - access - check out</t>
  </si>
  <si>
    <t>1. Click 'check out' button
2. Validate result (ER-1)</t>
  </si>
  <si>
    <t>TC_ACC_020</t>
  </si>
  <si>
    <t>Validate Register - page structure</t>
  </si>
  <si>
    <t>Page should contain these element :
Firstname, lastname, email,password,newsletter subscribtion,privacy policy agreement continue button</t>
  </si>
  <si>
    <t>TC_ACC_021</t>
  </si>
  <si>
    <t>Validate Register - first name - required field</t>
  </si>
  <si>
    <t>1. Click continue
2. Validate result (ER-1)</t>
  </si>
  <si>
    <t>Should show error message "Please enter your first name" under first name field.
first name fieldhave " * " mark at the end of first name</t>
  </si>
  <si>
    <t>TC_ACC_022</t>
  </si>
  <si>
    <t>Validate Register - first name - valid</t>
  </si>
  <si>
    <t>1. Enter first name  -&lt;Refer test data&gt;
2. Click continue
3. Validate result</t>
  </si>
  <si>
    <t>first name : sawan</t>
  </si>
  <si>
    <t>Should accept first name and not show any error under first name field</t>
  </si>
  <si>
    <t>TC_ACC_023</t>
  </si>
  <si>
    <t>Validate Register - first name - boundary - below</t>
  </si>
  <si>
    <t>first name : s</t>
  </si>
  <si>
    <t>Should not accept first name and show message "first name should be between 4 and 20 characters"</t>
  </si>
  <si>
    <t>TC_ACC_024</t>
  </si>
  <si>
    <t>Validate Register - first name - boundary - above</t>
  </si>
  <si>
    <t>first name : any name that over 20 characters</t>
  </si>
  <si>
    <t>TC_ACC_025</t>
  </si>
  <si>
    <t>Validate Register - first name - not support characters</t>
  </si>
  <si>
    <t>first name : s@wan</t>
  </si>
  <si>
    <t>Should not accept first name and show message "first name should contain only english characters"</t>
  </si>
  <si>
    <t>TC_ACC_026</t>
  </si>
  <si>
    <t>Validate Register - last name - require field</t>
  </si>
  <si>
    <t>Should show error message "Please enter your last name" 
Under last name fieldhave " * " mark at the end of last name</t>
  </si>
  <si>
    <t>TC_ACC_027</t>
  </si>
  <si>
    <t>Validate Register - last name - valid</t>
  </si>
  <si>
    <t>1. Enter last name -&lt;Refer test data&gt;
2. Click continue
3. Validate result (ER-1)</t>
  </si>
  <si>
    <t>last name : sumartara</t>
  </si>
  <si>
    <t>Should accept last name and not show any error message</t>
  </si>
  <si>
    <t>TC_ACC_028</t>
  </si>
  <si>
    <t>Validate Register - last name - boundary - below</t>
  </si>
  <si>
    <t>last name : any name under 4 characters</t>
  </si>
  <si>
    <t>Should not accept last name under 4 characters</t>
  </si>
  <si>
    <t>TC_ACC_029</t>
  </si>
  <si>
    <t>Validate Register - last name - boundary - above</t>
  </si>
  <si>
    <t>last name : any name that over 30 characters</t>
  </si>
  <si>
    <t>Should not accept last name over 30 characters</t>
  </si>
  <si>
    <t>TC_ACC_030</t>
  </si>
  <si>
    <t>Validate Register - last name - not support characters</t>
  </si>
  <si>
    <t>last name : any special characters and another unsupport language</t>
  </si>
  <si>
    <t>Should not accept unsupport characters</t>
  </si>
  <si>
    <t>TC_ACC_031</t>
  </si>
  <si>
    <t>Validate Register - email - valid</t>
  </si>
  <si>
    <t>1. Enter email -&lt;Refer test data&gt;
2. Click continue
3. Validate result (ER-1)</t>
  </si>
  <si>
    <t>email : sawan@email.com</t>
  </si>
  <si>
    <t>Should accept email</t>
  </si>
  <si>
    <t>TC_ACC_032</t>
  </si>
  <si>
    <t>Validate Register - email - required field</t>
  </si>
  <si>
    <t>1. Leave email field empty
2. Click continue
3. Validate result (ER-1)</t>
  </si>
  <si>
    <t>Should not accept empty field inpuit on email and show message "please enter you email"
Should have "*" mark  in email as in "email*"</t>
  </si>
  <si>
    <t>TC_ACC_033</t>
  </si>
  <si>
    <t>Validate Register - email - not support characters</t>
  </si>
  <si>
    <t>email : กขค@mail.com</t>
  </si>
  <si>
    <t>Do not accept unsupport characters input</t>
  </si>
  <si>
    <t>TC_ACC_034</t>
  </si>
  <si>
    <t>Validate Register - email - boundary</t>
  </si>
  <si>
    <t>email : a@b, over 254 characters email</t>
  </si>
  <si>
    <t>Accept email that only contain between 6-254 characters</t>
  </si>
  <si>
    <t>TC_ACC_035</t>
  </si>
  <si>
    <t>Validate Register - email - invalid format</t>
  </si>
  <si>
    <t>email : a@b,g_b.com</t>
  </si>
  <si>
    <t>Accept only valid email</t>
  </si>
  <si>
    <t>TC_ACC_037</t>
  </si>
  <si>
    <t>Validate Register - subscribe</t>
  </si>
  <si>
    <t>1. Click checkbox on subscirbe
2. Validate result (ER-1)</t>
  </si>
  <si>
    <t>Should be able to change checkbox status</t>
  </si>
  <si>
    <t>TC_ACC_038</t>
  </si>
  <si>
    <t>Validate Register - policy</t>
  </si>
  <si>
    <t>1. Click checkbox on policy
2. Validate result (ER-1)</t>
  </si>
  <si>
    <t>TC_ACC_039</t>
  </si>
  <si>
    <t>Validate Register - policy read</t>
  </si>
  <si>
    <t>1. Click policy link on policy
2. Validate result (ER-1)</t>
  </si>
  <si>
    <t>Should redirect user to policy page</t>
  </si>
  <si>
    <t>TC_ACC_040</t>
  </si>
  <si>
    <t>Validate Register - policy not check</t>
  </si>
  <si>
    <t>1. Click continue without check the policy checkbox
2. Validate result (ER-1)</t>
  </si>
  <si>
    <t>Should show message " Please agree on policy before continue"</t>
  </si>
  <si>
    <t>TC_ACC_041</t>
  </si>
  <si>
    <t>Validate Register - policy required field</t>
  </si>
  <si>
    <t>policy should contain "*" mark as in "policy*" to show it is a required to check</t>
  </si>
  <si>
    <t>TC_ACC_042</t>
  </si>
  <si>
    <t>Validate Register - success</t>
  </si>
  <si>
    <t>1. Enter all required information
2. Click checkbox
3. Click continue</t>
  </si>
  <si>
    <t>email : aa1234@gmail.com
password : aa1234</t>
  </si>
  <si>
    <t>Should successfully register an account,show message "Your Account Has Been Created!"</t>
  </si>
  <si>
    <t>TC_ACC_043</t>
  </si>
  <si>
    <t>Validate Register - duplicate</t>
  </si>
  <si>
    <t>email : test@gmail.com
password : aa1234</t>
  </si>
  <si>
    <t>Should successfully register an account,show message "Your email has already used to create and account if you forgot your password please reset password"</t>
  </si>
  <si>
    <t>TC_ACC_044</t>
  </si>
  <si>
    <t>Validate user can logout</t>
  </si>
  <si>
    <t>Open applicationuser already logged in</t>
  </si>
  <si>
    <t>1. Click my account on header
2. Click Log out button
3. Validate result (ER-1)</t>
  </si>
  <si>
    <t>User should logged out</t>
  </si>
  <si>
    <t>TC_ACC_045</t>
  </si>
  <si>
    <t>Validate Login - forgot password</t>
  </si>
  <si>
    <t>1. Click 'forgot password' button
2. Validate result (ER-1)</t>
  </si>
  <si>
    <t>User should redirect to reset password page</t>
  </si>
  <si>
    <t>User edirect to reset password page</t>
  </si>
  <si>
    <t>TC_ACC_046</t>
  </si>
  <si>
    <t>Validate Login - forgot password sturcture</t>
  </si>
  <si>
    <t>Open application, enter reset password page</t>
  </si>
  <si>
    <t>Page should contain header,account sub-menu section, input email for resetting password, go back button,continue button</t>
  </si>
  <si>
    <t>TC_ACC_047</t>
  </si>
  <si>
    <t>Validate Login - forgot password successful</t>
  </si>
  <si>
    <t>1. enter an email -&lt;Refer test data&gt; 
2. Click 'continue button
3. Validate result (ER-1)</t>
  </si>
  <si>
    <t>Should return message "Resetting password link was sent to your email."</t>
  </si>
  <si>
    <t>TC_ACC_048</t>
  </si>
  <si>
    <t>Validate Login - forgot password invalid email</t>
  </si>
  <si>
    <t>email : เทส_gmail.com</t>
  </si>
  <si>
    <t>Should return message "Please enter valid email"</t>
  </si>
  <si>
    <t>TC_ACC_049</t>
  </si>
  <si>
    <t>Validate Login - forgot password required field email</t>
  </si>
  <si>
    <t>1. Click 'continue button
2. Validate result (ER-1)</t>
  </si>
  <si>
    <t>Should return message "Please enter an email"
have * mark next to email as in "email*"</t>
  </si>
  <si>
    <t>TC_ACC_050</t>
  </si>
  <si>
    <t>Validate Login - forgot password not exists email</t>
  </si>
  <si>
    <t>email : test3@gmail.com</t>
  </si>
  <si>
    <t>Should return message "This email is not registered with this application"</t>
  </si>
  <si>
    <t>TC_ACC_051</t>
  </si>
  <si>
    <t>Validate Login - forgot password go back button</t>
  </si>
  <si>
    <t>1. click "back" button
2. Validate result (ER-1)</t>
  </si>
  <si>
    <t>Should return to login page</t>
  </si>
  <si>
    <t>TC_ACF_001</t>
  </si>
  <si>
    <t>Validate account features</t>
  </si>
  <si>
    <t>Open application,logged in</t>
  </si>
  <si>
    <t>1. Click 'my account' on header
2. Click 'my account' option
3. Validate result (Validate ER-1)</t>
  </si>
  <si>
    <t xml:space="preserve">Account page should have following function by section :
My Account : edit account information, change password, modify address book entries, modify wish list
My Orders : view order history, subscribtion, downlaods,reward points,return request, transaction
My Affiliate Account : register for affiliate account
News letter : subscribe/unsubscibe
Shortcut for quick access on all listed features on right side </t>
  </si>
  <si>
    <t>TC_ACF_002</t>
  </si>
  <si>
    <t>Validate quick access features</t>
  </si>
  <si>
    <t>Open application,logged in,location is on any account page</t>
  </si>
  <si>
    <t>1. Validate result (Validate ER-1)</t>
  </si>
  <si>
    <t>Should show quick access on right side of the page for navigate through account features</t>
  </si>
  <si>
    <t>TC_ACF_003</t>
  </si>
  <si>
    <t>Validate account information link - main</t>
  </si>
  <si>
    <t>Open application,logged in,enter my account page</t>
  </si>
  <si>
    <t>1. Click 'edit your account information' link below my account
2. Validate result (Validate ER-1)</t>
  </si>
  <si>
    <t>Should navigate user to account information page</t>
  </si>
  <si>
    <t>TC_ACF_004</t>
  </si>
  <si>
    <t>Validate account information link - quick access</t>
  </si>
  <si>
    <t>1. Click 'edit your account information' link on quick access
2. Validate result (Validate ER-1)</t>
  </si>
  <si>
    <t>TC_ACF_005</t>
  </si>
  <si>
    <t>Validate account information - element</t>
  </si>
  <si>
    <t>Open application,logged in,location is on account information page</t>
  </si>
  <si>
    <t>This page should show user current information.
User can edit information : first name, last name, email include back and confirmation button at buttom</t>
  </si>
  <si>
    <t>TC_ACF_006</t>
  </si>
  <si>
    <t>Validate account information - current information</t>
  </si>
  <si>
    <t>Current information first name, last name and email address should show correctly</t>
  </si>
  <si>
    <t>TC_ACF_007</t>
  </si>
  <si>
    <t>Validate account information - required field visibility</t>
  </si>
  <si>
    <t>Should have shown " * " mark for first name, last name and email</t>
  </si>
  <si>
    <t>TC_ACF_008</t>
  </si>
  <si>
    <t>Validate account information - required field functionality</t>
  </si>
  <si>
    <t>1. Empty input field -&lt;Refer test data&gt;
2. Click continue
3. Validate result (Validate ER-1)</t>
  </si>
  <si>
    <t>Field : first name, last name, email address</t>
  </si>
  <si>
    <t>The deleted field should show message "This field should not be empty"</t>
  </si>
  <si>
    <t>TC_ACF_009</t>
  </si>
  <si>
    <t>Validate account information - data modification first name valid</t>
  </si>
  <si>
    <t>1. Change text in first name -&lt;Refer test data&gt;
2. Click continue
3. Validate result (Validate ER-1)</t>
  </si>
  <si>
    <t>First name : John</t>
  </si>
  <si>
    <t>First name should change to input data</t>
  </si>
  <si>
    <t>TC_ACF_010</t>
  </si>
  <si>
    <t>Validate account information - data modification first name invalid characters</t>
  </si>
  <si>
    <t>First name : จอห์น</t>
  </si>
  <si>
    <t>Only accept english which contain between 1 - 32 characters
Show error message "Please use only english characters for first name"</t>
  </si>
  <si>
    <t>TC_ACF_011</t>
  </si>
  <si>
    <t>Validate account information - data modification first name invalid size</t>
  </si>
  <si>
    <t>First name : J , name that over 20 characters</t>
  </si>
  <si>
    <t>Show message "First Name must be between 1 and 32 characters!"</t>
  </si>
  <si>
    <t>TC_ACF_012</t>
  </si>
  <si>
    <t>Validate account information - data modification last name valid</t>
  </si>
  <si>
    <t>1. Change text in last name -&lt;Refer test data&gt;
2. Click continue
3. Validate result (Validate ER-1)</t>
  </si>
  <si>
    <t>Last name : Rowel</t>
  </si>
  <si>
    <t>Last name should change to input data</t>
  </si>
  <si>
    <t>TC_ACF_013</t>
  </si>
  <si>
    <t>Validate account information - data modification last name invalid characters</t>
  </si>
  <si>
    <t>Last name : กำเนิด</t>
  </si>
  <si>
    <t>Only accept english which contain between 1 - 20 characters
Show error message "Please use only english characters for last name"</t>
  </si>
  <si>
    <t>TC_ACF_014</t>
  </si>
  <si>
    <t>Validate account information - data modification last name invalid size</t>
  </si>
  <si>
    <t>Last name : B , name that over 20 characters</t>
  </si>
  <si>
    <t>Show message "Last Name must be between 1 and 32 characters!"</t>
  </si>
  <si>
    <t>TC_ACF_015</t>
  </si>
  <si>
    <t>Validate account information - data modification email valid</t>
  </si>
  <si>
    <t>1. Change text in email -&lt;Refer test data&gt;
2. Click continue
3. Validate result (Validate ER-1)</t>
  </si>
  <si>
    <t>Email : John.Rowel@mail.com</t>
  </si>
  <si>
    <t>Email should change to new email</t>
  </si>
  <si>
    <t>TC_ACF_016</t>
  </si>
  <si>
    <t>Validate account information - data modification email invalid format</t>
  </si>
  <si>
    <t>Email : John.Row@el@mail.com</t>
  </si>
  <si>
    <t>Should show message "E-Mail Address does not appear to be valid!"</t>
  </si>
  <si>
    <t>TC_ACF_017</t>
  </si>
  <si>
    <t>Validate account information - data modification email invalid characters</t>
  </si>
  <si>
    <t>Email : จอห์น@gmail.com</t>
  </si>
  <si>
    <t>TC_ACF_018</t>
  </si>
  <si>
    <t>Validate account information -  'continue' button valid criteria</t>
  </si>
  <si>
    <t>1. Change information -&lt;Refer test data&gt;
2. Click continue
3. Validate result (Validate ER-1)</t>
  </si>
  <si>
    <t>Should show message " Success: Your account has been successfully updated."</t>
  </si>
  <si>
    <t>TC_ACF_019</t>
  </si>
  <si>
    <t>Validate account information -  'back' button invalid criteriea</t>
  </si>
  <si>
    <t>1. Click back button
2. Validate reuslt (Validate ER-1)</t>
  </si>
  <si>
    <t>Should go back to account page</t>
  </si>
  <si>
    <t>TC_ACF_020</t>
  </si>
  <si>
    <t>Validate login after user change email address - new email</t>
  </si>
  <si>
    <t>1. Change email -&lt;Refer test data&gt;
2. Logout
3. Try to login with new email</t>
  </si>
  <si>
    <t>Email : John.new@gmail.com</t>
  </si>
  <si>
    <t>Should be able to login with new email</t>
  </si>
  <si>
    <t>TC_ACF_021</t>
  </si>
  <si>
    <t>Validate login after user change email address - old email</t>
  </si>
  <si>
    <t>1. Change email -&lt;Refer test data&gt;
2. Logout
3. Try to login with old email</t>
  </si>
  <si>
    <t>New email : John.new@gmail.com
Old email : John@gmail.com</t>
  </si>
  <si>
    <t>Should fail the login and return with warning "Warning:This email was changed from the account please use new email to login"</t>
  </si>
  <si>
    <t>TC_ACF_022</t>
  </si>
  <si>
    <t>Validate change password feature - access through account page</t>
  </si>
  <si>
    <t>1. Click change your password link under my account section
2. Validate result (Validate ER-1)</t>
  </si>
  <si>
    <t>Should navigate user to change password page</t>
  </si>
  <si>
    <t>TC_ACF_023</t>
  </si>
  <si>
    <t>Validate change password feature - access through quick access</t>
  </si>
  <si>
    <t>1. Click password on quick access
2. Validate result (Validate ER-1)</t>
  </si>
  <si>
    <t>TC_ACF_024</t>
  </si>
  <si>
    <t>Validate change password feature - element</t>
  </si>
  <si>
    <t>Open application,logged in,location is on change password page</t>
  </si>
  <si>
    <t>Page should show page title "Change Password"
have 2 input password and password confirm, back button and continue button</t>
  </si>
  <si>
    <t>TC_ACF_025</t>
  </si>
  <si>
    <t>Validate change password feature - required field</t>
  </si>
  <si>
    <t>1. Leave password and password confirm empty
2. Click confirm button
3. Validate result (Validate ER-1)</t>
  </si>
  <si>
    <t>Password and password confirm should has visible "*" mark and did not accept empty input</t>
  </si>
  <si>
    <t>TC_ACF_026</t>
  </si>
  <si>
    <t>Validate change password feature - hidden</t>
  </si>
  <si>
    <t>1. Input password and password confirm -&lt;Refer test data&gt;
2. Validate reuslt (Validate ER-1)</t>
  </si>
  <si>
    <t>Password : 123456
Password confirm : 123456</t>
  </si>
  <si>
    <t>Password should be hidden</t>
  </si>
  <si>
    <t>TC_ACF_027</t>
  </si>
  <si>
    <t>Validate change password feature - show</t>
  </si>
  <si>
    <t>Should have visible reveal password button</t>
  </si>
  <si>
    <t>Do not have reveal password button</t>
  </si>
  <si>
    <t>TC_ACF_028</t>
  </si>
  <si>
    <t>Validate change password feature - back button</t>
  </si>
  <si>
    <t>Should navigate user back to account information page</t>
  </si>
  <si>
    <t>TC_ACF_029</t>
  </si>
  <si>
    <t>Validate change password feature - continue button</t>
  </si>
  <si>
    <t>Should visible and locate on buttom right of the password input location</t>
  </si>
  <si>
    <t>TC_ACF_030</t>
  </si>
  <si>
    <t>Validate change password feature - change password match</t>
  </si>
  <si>
    <t>1. Input password and password confirm -&lt;Refer test data&gt;
2. Click continue
3. Validate reuslt (Validate ER-1)</t>
  </si>
  <si>
    <t>Should show message "Password change successfully"</t>
  </si>
  <si>
    <t>TC_ACF_031</t>
  </si>
  <si>
    <t>Validate change password feature - change password not match</t>
  </si>
  <si>
    <t>Password : 123456
Password confirm : 1234567</t>
  </si>
  <si>
    <t>Should show message "Both password does not match"</t>
  </si>
  <si>
    <t>TC_ACF_032</t>
  </si>
  <si>
    <t>Validate change password feature - change password same as previous password</t>
  </si>
  <si>
    <t>Should show message "You cannot use old password as a new password"</t>
  </si>
  <si>
    <t>TC_ACF_033</t>
  </si>
  <si>
    <t>Validate change password feature - change password to password that already use in the past</t>
  </si>
  <si>
    <t>TC_ACF_034</t>
  </si>
  <si>
    <t>Validate change password feature - change password successful</t>
  </si>
  <si>
    <t>Password : 54321
Password confirm : 54321</t>
  </si>
  <si>
    <t>TC_ACF_035</t>
  </si>
  <si>
    <t>Validate change password feature - invalid password</t>
  </si>
  <si>
    <t>Password : ฟหกด
Password confirm : ฟหกด</t>
  </si>
  <si>
    <t>Should show message "PLease use only english alphabet,number,special characters as your password"</t>
  </si>
  <si>
    <t>TC_ACF_036</t>
  </si>
  <si>
    <t>Validate change password feature - login with new password</t>
  </si>
  <si>
    <t>Open application,have an account,password changed,not logged in</t>
  </si>
  <si>
    <t>1. Login with new password -&lt;Refer test data&gt;
2. Validate result (Validate ER-1)</t>
  </si>
  <si>
    <t>Email : John@gmail.com
Password : 54321</t>
  </si>
  <si>
    <t>Should successfully loged in</t>
  </si>
  <si>
    <t>TC_ACF_037</t>
  </si>
  <si>
    <t>Validate change password feature - login with old password</t>
  </si>
  <si>
    <t>Email : John@gmail.com
Password : 123456</t>
  </si>
  <si>
    <t>Should fail the login and return with warning "Warning:This password was changed from the account please use new password or reset password"</t>
  </si>
  <si>
    <t>TC_ACF_038</t>
  </si>
  <si>
    <t>Validate change password feature - login with previous password</t>
  </si>
  <si>
    <t>TC_ACF_039</t>
  </si>
  <si>
    <t>Validate access to address book - access through account page</t>
  </si>
  <si>
    <t>1. Click 'modify your address entries' under my account section
2. Validate result (Valdate ER-1)</t>
  </si>
  <si>
    <t>TC_ACF_040</t>
  </si>
  <si>
    <t>Validate access to address book - access through quick access</t>
  </si>
  <si>
    <t>1. Click 'Address Book' option on quick access
2. Validate result (Validate ER-1)</t>
  </si>
  <si>
    <t>TC_ACF_041</t>
  </si>
  <si>
    <t>Address book page - element</t>
  </si>
  <si>
    <t>Open application,logged in,location is on address book page</t>
  </si>
  <si>
    <t>Should contain "Address Book Entries" header,address book information,back button, new address button, quick access section</t>
  </si>
  <si>
    <t>TC_ACF_042</t>
  </si>
  <si>
    <t>Address book page - no address</t>
  </si>
  <si>
    <t>Open application,logged in,location is on address book page,has no entry on the list</t>
  </si>
  <si>
    <t>Should show message "You have no addresses in your account." under address book entities section</t>
  </si>
  <si>
    <t>TC_ACF_043</t>
  </si>
  <si>
    <t>Address book page - have item</t>
  </si>
  <si>
    <t>Open application,logged in,location is on address book page,has at least one entry on the list</t>
  </si>
  <si>
    <t>Should shown entries by row, have entries data on left side and action button (edit and delete) on the right side</t>
  </si>
  <si>
    <t>TC_ACF_044</t>
  </si>
  <si>
    <t>Address book page - back button</t>
  </si>
  <si>
    <t>TC_ACF_045</t>
  </si>
  <si>
    <t>Address book page - delete address</t>
  </si>
  <si>
    <t>1. Click delete button on entry -&lt;Refer test data&gt;
2. Validate result (Validate ER-1)</t>
  </si>
  <si>
    <t>Entries : any entries</t>
  </si>
  <si>
    <t>Selected entry should be removed</t>
  </si>
  <si>
    <t>TC_ACF_046</t>
  </si>
  <si>
    <t>Address book page - access add address</t>
  </si>
  <si>
    <t>1. Click new address button
2. Validate result (Validate ER-1)</t>
  </si>
  <si>
    <t>Should navigate user to add address page</t>
  </si>
  <si>
    <t>TC_ACF_047</t>
  </si>
  <si>
    <t>Add address - element</t>
  </si>
  <si>
    <t>Open application,logged in,location is on add address page</t>
  </si>
  <si>
    <t>Should contain 'Add Address' title,
input of : first name, last name, company, address 1, address2, city, post code, country, region/state, default address
back button, continue button and quick access tab</t>
  </si>
  <si>
    <t>TC_ACF_048</t>
  </si>
  <si>
    <t>Add address - required field</t>
  </si>
  <si>
    <t>1. Leave required field empty
2. Click continue button
3. Validate result (Validate ER-1)</t>
  </si>
  <si>
    <t>Field : first name, last name, address, city, post code, country, region/state</t>
  </si>
  <si>
    <t>required field should has visible red " * " mark, will show error message to put data on required field if leave empty</t>
  </si>
  <si>
    <t>TC_ACF_049</t>
  </si>
  <si>
    <t>Add address - place holder</t>
  </si>
  <si>
    <t>TC_ACF_050</t>
  </si>
  <si>
    <t>Add address - selection default</t>
  </si>
  <si>
    <t>TC_ACF_051</t>
  </si>
  <si>
    <t>Add address - first name - valid</t>
  </si>
  <si>
    <t>TC_ACF_052</t>
  </si>
  <si>
    <t>Add address - first name - invalid</t>
  </si>
  <si>
    <t>TC_ACF_053</t>
  </si>
  <si>
    <t>Add address - last name - valid</t>
  </si>
  <si>
    <t>TC_ACF_054</t>
  </si>
  <si>
    <t>Add address - last name - invalid</t>
  </si>
  <si>
    <t>TC_ACF_055</t>
  </si>
  <si>
    <t>Add address - company - valid</t>
  </si>
  <si>
    <t>TC_ACF_056</t>
  </si>
  <si>
    <t>Add address - company - empty</t>
  </si>
  <si>
    <t>TC_ACF_057</t>
  </si>
  <si>
    <t>Add address - company - invalid</t>
  </si>
  <si>
    <t>TC_ACF_058</t>
  </si>
  <si>
    <t>Add address - address1 - valid</t>
  </si>
  <si>
    <t>TC_ACF_059</t>
  </si>
  <si>
    <t>Add address - address1 - invalid</t>
  </si>
  <si>
    <t>TC_ACF_060</t>
  </si>
  <si>
    <t>Add address - address2 - valid</t>
  </si>
  <si>
    <t>TC_ACF_061</t>
  </si>
  <si>
    <t>Add address - address2 - invalid</t>
  </si>
  <si>
    <t>TC_ACF_062</t>
  </si>
  <si>
    <t>Add address - address2 - empty</t>
  </si>
  <si>
    <t>TC_ACF_063</t>
  </si>
  <si>
    <t>Add address - city - valid</t>
  </si>
  <si>
    <t>TC_ACF_064</t>
  </si>
  <si>
    <t>Add address - city - invalid</t>
  </si>
  <si>
    <t>TC_ACF_065</t>
  </si>
  <si>
    <t>Add address - post code - valid</t>
  </si>
  <si>
    <t>TC_ACF_066</t>
  </si>
  <si>
    <t>Add address - post code - invalid</t>
  </si>
  <si>
    <t>TC_ACF_067</t>
  </si>
  <si>
    <t>Add address - country - selection</t>
  </si>
  <si>
    <t>TC_ACF_068</t>
  </si>
  <si>
    <t>Add address - country - option</t>
  </si>
  <si>
    <t>TC_ACF_069</t>
  </si>
  <si>
    <t>Add address - region/state - selection default</t>
  </si>
  <si>
    <t>TC_ACF_070</t>
  </si>
  <si>
    <t>Add address - region/state - selection after select country</t>
  </si>
  <si>
    <t>TC_ACF_071</t>
  </si>
  <si>
    <t>Add address - default address - yes - no other address as default</t>
  </si>
  <si>
    <t>TC_ACF_072</t>
  </si>
  <si>
    <t>Add address - default address - yes - have other address as default</t>
  </si>
  <si>
    <t>TC_ACF_073</t>
  </si>
  <si>
    <t>Add address - back button</t>
  </si>
  <si>
    <t>TC_ACF_074</t>
  </si>
  <si>
    <t>Add address - continue button</t>
  </si>
  <si>
    <t>TC_ACF_075</t>
  </si>
  <si>
    <t>Add address - success</t>
  </si>
  <si>
    <t>TC_ACF_076</t>
  </si>
  <si>
    <t>Add address - limit</t>
  </si>
  <si>
    <t>TC_ACF_077</t>
  </si>
  <si>
    <t>Edit address - required field</t>
  </si>
  <si>
    <t>TC_ACF_078</t>
  </si>
  <si>
    <t>Edit address - place holder</t>
  </si>
  <si>
    <t>TC_ACF_079</t>
  </si>
  <si>
    <t>Edit address - selection default</t>
  </si>
  <si>
    <t>TC_ACF_080</t>
  </si>
  <si>
    <t>Edit address - first name - valid</t>
  </si>
  <si>
    <t>TC_ACF_081</t>
  </si>
  <si>
    <t>Edit address - first name - invalid</t>
  </si>
  <si>
    <t>TC_ACF_082</t>
  </si>
  <si>
    <t>Edit address - last name - valid</t>
  </si>
  <si>
    <t>TC_ACF_083</t>
  </si>
  <si>
    <t>Edit address - last name - invalid</t>
  </si>
  <si>
    <t>TC_ACF_084</t>
  </si>
  <si>
    <t>Edit address - company - valid</t>
  </si>
  <si>
    <t>TC_ACF_085</t>
  </si>
  <si>
    <t>Edit address - company - empty</t>
  </si>
  <si>
    <t>TC_ACF_086</t>
  </si>
  <si>
    <t>Edit address - company - invalid</t>
  </si>
  <si>
    <t>TC_ACF_087</t>
  </si>
  <si>
    <t>Edit address - address1 - valid</t>
  </si>
  <si>
    <t>TC_ACF_088</t>
  </si>
  <si>
    <t>Edit address - address1 - invalid</t>
  </si>
  <si>
    <t>TC_ACF_089</t>
  </si>
  <si>
    <t>Edit address - address2 - valid</t>
  </si>
  <si>
    <t>TC_ACF_090</t>
  </si>
  <si>
    <t>Edit address - address2 - invalid</t>
  </si>
  <si>
    <t>TC_ACF_091</t>
  </si>
  <si>
    <t>Edit address - address2 - empty</t>
  </si>
  <si>
    <t>TC_ACF_092</t>
  </si>
  <si>
    <t>Edit address - city - valid</t>
  </si>
  <si>
    <t>TC_ACF_093</t>
  </si>
  <si>
    <t>Edit address - city - invalid</t>
  </si>
  <si>
    <t>TC_ACF_094</t>
  </si>
  <si>
    <t>Edit address - post code - valid</t>
  </si>
  <si>
    <t>TC_ACF_095</t>
  </si>
  <si>
    <t>Edit address - post code - invalid</t>
  </si>
  <si>
    <t>TC_ACF_096</t>
  </si>
  <si>
    <t>Edit address - country - selection</t>
  </si>
  <si>
    <t>TC_ACF_097</t>
  </si>
  <si>
    <t>Edit address - country - option</t>
  </si>
  <si>
    <t>TC_ACF_098</t>
  </si>
  <si>
    <t>Edit address - region/state - selection default</t>
  </si>
  <si>
    <t>TC_ACF_099</t>
  </si>
  <si>
    <t>Edit address - region/state - selection after select country</t>
  </si>
  <si>
    <t>TC_ACF_100</t>
  </si>
  <si>
    <t>Edit address - default address - yes - no other address as default</t>
  </si>
  <si>
    <t>TC_ACF_101</t>
  </si>
  <si>
    <t>Edit address - default address - yes - have other address as default</t>
  </si>
  <si>
    <t>TC_ACF_102</t>
  </si>
  <si>
    <t>Edit address - back button</t>
  </si>
  <si>
    <t>TC_ACF_103</t>
  </si>
  <si>
    <t>Edit address - continue button</t>
  </si>
  <si>
    <t>TC_ACF_104</t>
  </si>
  <si>
    <t>Edit address - success</t>
  </si>
  <si>
    <t>TC_ACF_105</t>
  </si>
  <si>
    <t>TC_ACF_106</t>
  </si>
  <si>
    <t>TC_ACF_107</t>
  </si>
  <si>
    <t>TC_ACF_108</t>
  </si>
  <si>
    <t>TC_ACF_109</t>
  </si>
  <si>
    <t>TC_ACF_110</t>
  </si>
  <si>
    <t>TC_ACF_111</t>
  </si>
  <si>
    <t>TC_ACF_112</t>
  </si>
  <si>
    <t>TC_ACF_113</t>
  </si>
  <si>
    <t>TC_ACF_114</t>
  </si>
  <si>
    <t>TC_ACF_115</t>
  </si>
  <si>
    <t>TC_ACF_116</t>
  </si>
  <si>
    <t>TC_ACF_117</t>
  </si>
  <si>
    <t>TC_S_001</t>
  </si>
  <si>
    <t>Validate search - placeholder</t>
  </si>
  <si>
    <t>Open application</t>
  </si>
  <si>
    <t>Search bar should have placeholder "Search"</t>
  </si>
  <si>
    <t>TC_S_002</t>
  </si>
  <si>
    <t>Validate search - empty</t>
  </si>
  <si>
    <t>1. Leave input empty
2. Click search icon</t>
  </si>
  <si>
    <t>Should show message "Please enter your search criteria"</t>
  </si>
  <si>
    <t>TC_S_003</t>
  </si>
  <si>
    <t>Validate search - valid</t>
  </si>
  <si>
    <t>1. Input search criteria
2. Click search icon
3. Validate result (ER-1)</t>
  </si>
  <si>
    <t>Iphone</t>
  </si>
  <si>
    <t>Should show search result on current page based on search criteria</t>
  </si>
  <si>
    <t>TC_S_004</t>
  </si>
  <si>
    <t>Validate search - exact</t>
  </si>
  <si>
    <t>Apple cinima 30"</t>
  </si>
  <si>
    <t>Search results should at least show the exact match product</t>
  </si>
  <si>
    <t>TC_S_005</t>
  </si>
  <si>
    <t>Validate search - partial</t>
  </si>
  <si>
    <t>Apple cini</t>
  </si>
  <si>
    <t>Should be able to find similar item when match with partial word</t>
  </si>
  <si>
    <t>TC_S_006</t>
  </si>
  <si>
    <t>Validate search - product name</t>
  </si>
  <si>
    <t>Iphone14</t>
  </si>
  <si>
    <t>Search result should be able to find item when match by product name</t>
  </si>
  <si>
    <t>TC_S_007</t>
  </si>
  <si>
    <t>Validate search - brand name</t>
  </si>
  <si>
    <t>Apple</t>
  </si>
  <si>
    <t>Search result should be able to find item when match by brand name</t>
  </si>
  <si>
    <t>TC_S_008</t>
  </si>
  <si>
    <t>Validate search - product cat</t>
  </si>
  <si>
    <t>Tablets</t>
  </si>
  <si>
    <t>Search result should be able to find item when match by product category</t>
  </si>
  <si>
    <t>TC_S_009</t>
  </si>
  <si>
    <t>Validate search - description</t>
  </si>
  <si>
    <t>4k</t>
  </si>
  <si>
    <t>Search result should be able to find item when match by product description</t>
  </si>
  <si>
    <t>TC_S_010</t>
  </si>
  <si>
    <t>Validate search - sub cat</t>
  </si>
  <si>
    <t>PC</t>
  </si>
  <si>
    <t>Search result should be able to find item when match by product sub category</t>
  </si>
  <si>
    <t>TC_S_011</t>
  </si>
  <si>
    <t>Validate search - availability</t>
  </si>
  <si>
    <t>Available</t>
  </si>
  <si>
    <t>Search result should be able to find item when match by availability</t>
  </si>
  <si>
    <t>TC_S_012</t>
  </si>
  <si>
    <t>Validate search - character boundary</t>
  </si>
  <si>
    <t>accept only 2-255 characters :
criteria : 4k -&gt; result : accept
criteria : 4 or any input that over 255 characters -&gt; result : reject</t>
  </si>
  <si>
    <t>Search result only accept input that contain between 2 - 255 characters,If not warning message should display "Only accept 2 - 255 characters in search criteria"</t>
  </si>
  <si>
    <t>TC_S_013</t>
  </si>
  <si>
    <t>Validate search - found</t>
  </si>
  <si>
    <t>Canon EOS 5D</t>
  </si>
  <si>
    <t>Search result will show item in result area</t>
  </si>
  <si>
    <t>TC_S_014</t>
  </si>
  <si>
    <t>Validate search - found multiple</t>
  </si>
  <si>
    <t>TC_S_015</t>
  </si>
  <si>
    <t>Validate search - not found</t>
  </si>
  <si>
    <t>Hammock</t>
  </si>
  <si>
    <t>Search result will show message "criteria is not found"</t>
  </si>
  <si>
    <t>TC_S_016</t>
  </si>
  <si>
    <t>Validate search - select subcat filter</t>
  </si>
  <si>
    <t>Open application,Search item(found)</t>
  </si>
  <si>
    <t xml:space="preserve">1. Input search criteria -&lt;refer test data - criteria&gt;
2. Click search icon
3. Select sub category filter -&lt;refer test data - sub category&gt;
4. Validate result (ER-1)
</t>
  </si>
  <si>
    <t>criteria : apple
sub category : tablets</t>
  </si>
  <si>
    <t>Search result will only show item that match selected sub category</t>
  </si>
  <si>
    <t>TC_S_017</t>
  </si>
  <si>
    <t>Validate list view</t>
  </si>
  <si>
    <t>1. Click list view icon
2. Validate result (ER-1)</t>
  </si>
  <si>
    <t>Search result will show item in list</t>
  </si>
  <si>
    <t>TC_S_018</t>
  </si>
  <si>
    <t>Validate grid view</t>
  </si>
  <si>
    <t>1. Click grid view icon
2. Validate result (ER-1)</t>
  </si>
  <si>
    <t>Search result will show item in grid</t>
  </si>
  <si>
    <t>TC_S_019</t>
  </si>
  <si>
    <t>Validate sorting</t>
  </si>
  <si>
    <t>1. Click sort item icon
2. Select sorting type -&lt;Refer test data&gt;
3. Validate result (ER-1)</t>
  </si>
  <si>
    <t>Ascending</t>
  </si>
  <si>
    <t>Search result will sort by selected sorting type</t>
  </si>
  <si>
    <t>TC_S_020</t>
  </si>
  <si>
    <t>Validate item display (quantity)</t>
  </si>
  <si>
    <t>1. Click dropdown "show" in refine search area
2. Select quantity -&lt;Refer test data&gt;
3. Validate result (ER-1)</t>
  </si>
  <si>
    <t>Search result will only show item by selected quantity per page</t>
  </si>
  <si>
    <t>TC_S_021</t>
  </si>
  <si>
    <t>Validate item display (quantity) - over limit</t>
  </si>
  <si>
    <t>Open application,Search item(found), result quantity is more than selected item display</t>
  </si>
  <si>
    <t>The exeed items will split in to page(s)</t>
  </si>
  <si>
    <t>TC_S_022</t>
  </si>
  <si>
    <t>Validate item display (quantity) - below limit</t>
  </si>
  <si>
    <t>Open application,Search item(found), result quantity is less than selected item display</t>
  </si>
  <si>
    <t>Search result will only show in one page</t>
  </si>
  <si>
    <t>TC_S_023</t>
  </si>
  <si>
    <t>Validate navigate compare</t>
  </si>
  <si>
    <t>1. Click compare symbol on item
2. Validate result (ER-1)</t>
  </si>
  <si>
    <t>Selected item will be add to compare list</t>
  </si>
  <si>
    <t>TC_PC_001</t>
  </si>
  <si>
    <t>Product comparison - default</t>
  </si>
  <si>
    <t>Open application,enter product comparison page</t>
  </si>
  <si>
    <t>TC_PC_002</t>
  </si>
  <si>
    <t>Product comparison - empty</t>
  </si>
  <si>
    <t>TC_PC_003</t>
  </si>
  <si>
    <t>Product comparison - limit</t>
  </si>
  <si>
    <t>Open application,on any product page</t>
  </si>
  <si>
    <t>TC_PC_004</t>
  </si>
  <si>
    <t>Product comparison - duplicate</t>
  </si>
  <si>
    <t>TC_PC_005</t>
  </si>
  <si>
    <t>Product comparison - remove</t>
  </si>
  <si>
    <t>TC_PC_006</t>
  </si>
  <si>
    <t>Product comparison - view detailed product</t>
  </si>
  <si>
    <t>TC_PC_007</t>
  </si>
  <si>
    <t>Product comparison - add item to cart</t>
  </si>
  <si>
    <t>TC_HP_001</t>
  </si>
  <si>
    <t>Validate top menu</t>
  </si>
  <si>
    <t>Open https://demo.opencart.com</t>
  </si>
  <si>
    <t>1. Validate that top menu is displayed correctly (Validate ER-1)</t>
  </si>
  <si>
    <t>No Applicable</t>
  </si>
  <si>
    <t>1) Top menu should displayed at top of the page under header which contain top parent categories of products as following :
Desktops
Laptop &amp; Notebooks
Components
Tablets
Software
Phone &amp; PDAs
Cameras
MP3 Players</t>
  </si>
  <si>
    <t>TC_HP_002</t>
  </si>
  <si>
    <t>Validate 'Direct back to home page' from product page</t>
  </si>
  <si>
    <t>1. Click on product from 'Featured products - &lt;Refer Test Data&gt;
2. Wait for application to redirect user to product page (Validate ER-1)
3. Click store logo at top right corner on header (Validate ER-2)</t>
  </si>
  <si>
    <t>MacBook</t>
  </si>
  <si>
    <t>1) User should redirect to product page
2) User should redirect back to home page</t>
  </si>
  <si>
    <t>TC_HP_003</t>
  </si>
  <si>
    <t>Validate 'Direct back to home page' from shopping cart page</t>
  </si>
  <si>
    <t xml:space="preserve">1. Click 'Shopping Cart' (Validate ER-1)
2. Click store logo at top right corner on header (Validate ER-2)
</t>
  </si>
  <si>
    <t>1) User should redirect to shopping cart page
2) User should redirect back to home page</t>
  </si>
  <si>
    <t>TC_HP_004</t>
  </si>
  <si>
    <t>Slideshow display image</t>
  </si>
  <si>
    <t>1. Validate display image (Validate ER-1)</t>
  </si>
  <si>
    <t>1) All Selected images will appear in slideshow</t>
  </si>
  <si>
    <t>TC_HP_005</t>
  </si>
  <si>
    <t>Slideshow automatically change image</t>
  </si>
  <si>
    <t>1. Wait a certain amount of time (Validate ER-1)</t>
  </si>
  <si>
    <t>1) image in slidesohw should shift to the next one</t>
  </si>
  <si>
    <t>TC_HP_006</t>
  </si>
  <si>
    <t>Slideshow manually change image</t>
  </si>
  <si>
    <t>1. Validate display image (Validate ER-1)
2. Select another dot under image (Validate ER-2)</t>
  </si>
  <si>
    <t>1) image should display correctly
2) image should shift to the selected one</t>
  </si>
  <si>
    <t>TC_HP_007</t>
  </si>
  <si>
    <t>Slideshow select product</t>
  </si>
  <si>
    <t>1. Click display image - &lt;Refer Test Data&gt;
2. Validate navigation result (Validate ER-1)</t>
  </si>
  <si>
    <t>Slideshow image : 'MacBook'</t>
  </si>
  <si>
    <t>1) User should redirect to product page of selected product</t>
  </si>
  <si>
    <t>TC_HP_008</t>
  </si>
  <si>
    <t>Validate 'Featured products' details</t>
  </si>
  <si>
    <t>1. Validate featured product display correctly (Validate ER-1)</t>
  </si>
  <si>
    <t>1) Featured product should display under slideshow contain following elements:
1. Item Box
2. Product image
3. Product name
4. Product price
5. 'ADD TO CART' button
6. 'Wish list' button
7. 'Compare product' button</t>
  </si>
  <si>
    <t>TC_HP_009</t>
  </si>
  <si>
    <t>Validate 'Featured products' swish list of product</t>
  </si>
  <si>
    <t>1. Click another dot under displayed featured (Validate ER-1)</t>
  </si>
  <si>
    <t>1) Featured product should shift to another set of displayed product</t>
  </si>
  <si>
    <t>TC_HP_010</t>
  </si>
  <si>
    <t>Select product from 'Featured products'</t>
  </si>
  <si>
    <t>1. Click on product image from 'Featured' - &lt;Refer Test Data&gt;
2. Validate nagivation result (Validate ER-1)</t>
  </si>
  <si>
    <t>Product : MacBook</t>
  </si>
  <si>
    <t>TC_HP_011</t>
  </si>
  <si>
    <t>Validate footer</t>
  </si>
  <si>
    <t>1. Validate that footer is displayed correctly (Validate ER-1)</t>
  </si>
  <si>
    <t>1) Footer should displayed at bottom of the page and divided into following section :
Information : About Us, Delivery Information, Privacy Policy, Term &amp; Conditions
Customer Services : Contact Us, Returns, Site Map
Extra : Brands, Gift Voucher, Affiliate, Specials
My Account : My Account, Order History, Wish List, Newsletter</t>
  </si>
  <si>
    <t>TC_TM_01</t>
  </si>
  <si>
    <t>Validate top menu visibility on any page</t>
  </si>
  <si>
    <t>Open https://demo.opencart.com or currently in any page on application</t>
  </si>
  <si>
    <t>1. Validate that top menu is displayed correctly ( Validate ER-1)</t>
  </si>
  <si>
    <t>Top menu should be displayed at top of the page on every page of the store</t>
  </si>
  <si>
    <t>TC_TM_02</t>
  </si>
  <si>
    <t>Validate top menu content</t>
  </si>
  <si>
    <t>1. Validate top menu contents display correctly (Validate ER-1)</t>
  </si>
  <si>
    <t>Top menu should contain parent categories as following : 
- Desktops
- Laptops &amp; Notebooks
- Components
- Tablets
- Software
- Phones &amp; PDAs
- Cameras
- MP3 Players</t>
  </si>
  <si>
    <t>TC_TM_03</t>
  </si>
  <si>
    <t>Validate top menu action 'click' on parent category</t>
  </si>
  <si>
    <t>1. Click on any of 'top menu' content - &lt;Refer Test Data&gt;
2. Validate result ( Validate ER-1)</t>
  </si>
  <si>
    <t>Desktops</t>
  </si>
  <si>
    <t>Should navigate user to selected category page</t>
  </si>
  <si>
    <t>TC_TM_04</t>
  </si>
  <si>
    <t>Validate top menu action 'hover'</t>
  </si>
  <si>
    <t>1. Hover on any of 'top menu' content - &lt;Refer Test Data&gt;
2. Validate result (Validate ER-1)</t>
  </si>
  <si>
    <t>Laptops &amp; Notebooks</t>
  </si>
  <si>
    <t>A drop-down menu will display the sub-categories for that parent category</t>
  </si>
  <si>
    <t>TC_TM_05</t>
  </si>
  <si>
    <t>Validate top menu action 'click' on sub-category</t>
  </si>
  <si>
    <t xml:space="preserve">Open https://demo.opencart.com
</t>
  </si>
  <si>
    <t>1. Hover on 'top menu' content - &lt;Refer Test Data - Parent Category&gt;
2. Click on 'sub category' - &lt;Refer Test Data - Subcategory&gt;
3. Validate result (Validate ER-1)</t>
  </si>
  <si>
    <t>Parent Category : Desktops
Subcategory : CPU</t>
  </si>
  <si>
    <t>Should navigate user to product page which display only selected subcategory</t>
  </si>
  <si>
    <t>TC_HD_001</t>
  </si>
  <si>
    <t>Validate header</t>
  </si>
  <si>
    <t>Open https://demo.opencart.com
Navigate in any page of application</t>
  </si>
  <si>
    <t>1. Validate that header is displayed correctly (Validate ER-1)</t>
  </si>
  <si>
    <t>Header should displayed at top of the page and contain following options
Store logo
Currency block
Shopping Cart
Search box
Links
Telephone
My Account</t>
  </si>
  <si>
    <t>TC_HD_002</t>
  </si>
  <si>
    <t xml:space="preserve">Validate store logo funtionality </t>
  </si>
  <si>
    <t>1. Click store logo (Validate ER-1)</t>
  </si>
  <si>
    <t>Should navigate to home page</t>
  </si>
  <si>
    <t>TC_HD_003</t>
  </si>
  <si>
    <t>Validate currency functionality</t>
  </si>
  <si>
    <t xml:space="preserve">1. Click at 'Currency' on the left side of header (Validate ER-1)
</t>
  </si>
  <si>
    <t>Correct 2 available option should be USD($) and EUR(€)</t>
  </si>
  <si>
    <t>TC_HD_004</t>
  </si>
  <si>
    <t>Validate telephone display</t>
  </si>
  <si>
    <t>1. Validate company telephone number (Validate ER-1)</t>
  </si>
  <si>
    <t>Company telephone number should be '123456789'</t>
  </si>
  <si>
    <t>TC_HD_005</t>
  </si>
  <si>
    <t>Validate 'My Account' link</t>
  </si>
  <si>
    <t>1. Click 'My Account' link (Validate ER-1)</t>
  </si>
  <si>
    <t>Should display dropdown list 'login' and 'register'</t>
  </si>
  <si>
    <t>TC_HD_006</t>
  </si>
  <si>
    <t>Validate link 'My Account' - 'Register'</t>
  </si>
  <si>
    <t>Should redirect to register page</t>
  </si>
  <si>
    <t>TC_HD_007</t>
  </si>
  <si>
    <t>Validate link 'My Account' - 'Login'</t>
  </si>
  <si>
    <t>Should redirect to login page</t>
  </si>
  <si>
    <t>TC_HD_008</t>
  </si>
  <si>
    <t>Validate 'My Account' link after logged in</t>
  </si>
  <si>
    <t>Open https://demo.opencart.com, logged in</t>
  </si>
  <si>
    <t>Should have option : my account, order history, transactions, download, logout</t>
  </si>
  <si>
    <t>TC_HD_009</t>
  </si>
  <si>
    <t>Validate 'My Account' - my account</t>
  </si>
  <si>
    <t>1. Click 'My Account' link (Validate ER-1)
2. Click 'My Account' link  from list (Validate ER-2)</t>
  </si>
  <si>
    <t>Should navigate user to my account page</t>
  </si>
  <si>
    <t>TC_HD_010</t>
  </si>
  <si>
    <t>Validate 'My Account' - order history</t>
  </si>
  <si>
    <t>1. Click 'My Account' link (Validate ER-1)
2. Click 'Order history' link  from list (Validate ER-2)</t>
  </si>
  <si>
    <t>Should navigate user to history page</t>
  </si>
  <si>
    <t>TC_HD_011</t>
  </si>
  <si>
    <t>Validate 'My Account' - transaction</t>
  </si>
  <si>
    <t>1. Click 'My Account' link (Validate ER-1)
2. Click 'Transaction' link  from list (Validate ER-2)</t>
  </si>
  <si>
    <t>Should navigate user to transaction page</t>
  </si>
  <si>
    <t>TC_HD_012</t>
  </si>
  <si>
    <t>Validate 'My Account' - download</t>
  </si>
  <si>
    <t>1. Click 'My Account' link (Validate ER-1)
2. Click 'Download' link  from list (Validate ER-2)</t>
  </si>
  <si>
    <t>Should navigate user to download page</t>
  </si>
  <si>
    <t>TC_HD_013</t>
  </si>
  <si>
    <t>Validate link 'Wish List'</t>
  </si>
  <si>
    <t>1. Click 'Wish List' link (Validate ER-1)</t>
  </si>
  <si>
    <t>Should redirect to wish list page</t>
  </si>
  <si>
    <t>TC_HD_014</t>
  </si>
  <si>
    <t>Validate link 'Wish List' if not logged in</t>
  </si>
  <si>
    <t>1. Click hearth symbol which displayed on product - &lt;Refer Test Data&gt;
2. Validate message (Validate ER-1)</t>
  </si>
  <si>
    <t>Product : Canon EOS 5D</t>
  </si>
  <si>
    <t>A message "You must login or create an account to save Canon EOS 5D to your wish list!" should appear</t>
  </si>
  <si>
    <t>TC_HD_015</t>
  </si>
  <si>
    <t>Validate 'Wish List' button after added an item</t>
  </si>
  <si>
    <t>Open https://demo.opencart.com
and log in</t>
  </si>
  <si>
    <t>1. Click hearth symbol which displayed on product - &lt;Refer Test Data&gt;
2. Reload page
3. Validate 'Wish List' button (Validate ER-1)</t>
  </si>
  <si>
    <t>A 'Wish List' button should change to Wish List(1)</t>
  </si>
  <si>
    <t>TC_HD_016</t>
  </si>
  <si>
    <t>Validate 'Wish List' button after added multiple item</t>
  </si>
  <si>
    <t>1. Click hearth symbol which displayed on multiple product - &lt;Refer Test Data&gt;
2. Reload page
3. Validate 'Wish List' button (Validate ER-1)</t>
  </si>
  <si>
    <t xml:space="preserve">Product : iPhone, MacBook, Apple Cinema 30"
</t>
  </si>
  <si>
    <t>A 'Wish List' button should display Wish List(3)</t>
  </si>
  <si>
    <t>TC_HD_017</t>
  </si>
  <si>
    <t>Validate 'Wish List' button' removing an item</t>
  </si>
  <si>
    <t>Open https://demo.opencart.com
and log in
Added multiple wish list item</t>
  </si>
  <si>
    <t>1. Click hearth symbol which displayed on product - &lt;Refer Test Data&gt;
2. Click on 'Wish List' button
3. Click remove button on selected item  (Validate ER-1)</t>
  </si>
  <si>
    <t>A 'Wish List' button should reduce number in bracket by 1</t>
  </si>
  <si>
    <t>TC_HD_018</t>
  </si>
  <si>
    <t xml:space="preserve">Validate link 'Shopping Cart' </t>
  </si>
  <si>
    <t>1.Click 'Shopping Cart' button (Validate ER-1)</t>
  </si>
  <si>
    <t>Should redirect to shopping cart page</t>
  </si>
  <si>
    <t>TC_HD_019</t>
  </si>
  <si>
    <t>Validate shopping cart button (empty)</t>
  </si>
  <si>
    <t>1. Click 'Shopping Cart' button on the header (Validate ER-1)</t>
  </si>
  <si>
    <t>Should show message "You shoping cart is empty!"</t>
  </si>
  <si>
    <t>TC_HD_020</t>
  </si>
  <si>
    <t>Validate shopping cart button after add item(s)</t>
  </si>
  <si>
    <t xml:space="preserve">Open https://demo.opencart.com
log in and added item(s) </t>
  </si>
  <si>
    <t>Should show item details of every item in cart,total cost and button to check out</t>
  </si>
  <si>
    <t>TC_HD_021</t>
  </si>
  <si>
    <t>Validate shopping cart 'View Cart' button</t>
  </si>
  <si>
    <t>1. Click 'Shopping Cart' button on the header
2. Click 'View Cart' button (Validate ER-1)</t>
  </si>
  <si>
    <t>Should redirect to cart page</t>
  </si>
  <si>
    <t>TC_HD_022</t>
  </si>
  <si>
    <t>Validate link 'Check Out'</t>
  </si>
  <si>
    <t>1. Click 'Check Out' button (Validate ER-1)</t>
  </si>
  <si>
    <t>Should redirect to checkout page</t>
  </si>
  <si>
    <t>TC_HD_023</t>
  </si>
  <si>
    <t>Validate search box</t>
  </si>
  <si>
    <t>1. Input text into search box  - &lt;Refer Test Data&gt;
2. Click Search button (Validate ER-1)</t>
  </si>
  <si>
    <t>"Iphone"</t>
  </si>
  <si>
    <t>Should redirect to search result page</t>
  </si>
  <si>
    <t>TC_HD_024</t>
  </si>
  <si>
    <t>Validate search box - too many characters</t>
  </si>
  <si>
    <t>a text that has over a 500 characters</t>
  </si>
  <si>
    <t>Should show error message "your input is over the character limit"</t>
  </si>
  <si>
    <t>do not show error message and proceed with data.
sometimes cause error 522</t>
  </si>
  <si>
    <t>Defect-003</t>
  </si>
  <si>
    <t>TC_HD_025</t>
  </si>
  <si>
    <t>Validate location show correctly</t>
  </si>
  <si>
    <t>Open https://demo.opencart.com,navigate through any page of the application</t>
  </si>
  <si>
    <t>Should show correct location of the current page</t>
  </si>
  <si>
    <t>TC_HD_026</t>
  </si>
  <si>
    <t>Validate quick access for location</t>
  </si>
  <si>
    <t>Open https://demo.opencart.com,navigate through any page of the application except home page</t>
  </si>
  <si>
    <t>1. Select one of any previous page on location - &lt;Refer test data : target&gt;
2. Validate result (Validate ER-1)</t>
  </si>
  <si>
    <t>location : home &gt; account &gt; password
target : account</t>
  </si>
  <si>
    <t>Should navigate user to account page</t>
  </si>
  <si>
    <t>TC_FT_001</t>
  </si>
  <si>
    <t>Validate footer contents</t>
  </si>
  <si>
    <t>1. Validate content of footer (Validate ER-1)</t>
  </si>
  <si>
    <t>Footer should located at bottom of every page and contain following contents :
Information which have :
 About Us, Delivery Information, Privacy Policy, Terms &amp; Conditions
Customer Service which have:
 Contact Us, Returns, Site Map
Extras which have:
 Brands, Gift Vouchers, Affiliates, Specials
My Account which have:
 My Account, Order History, Wish List, Newsletter</t>
  </si>
  <si>
    <t>TC_FT_002</t>
  </si>
  <si>
    <t>Validate footer link 'About Us'</t>
  </si>
  <si>
    <t>1. Click on footer content - &lt;Refer Test Data&gt;
2. Validate navigation result (Validate ER-1)</t>
  </si>
  <si>
    <t>TC_FT_003</t>
  </si>
  <si>
    <t>Validate footer link 'Delivery Information'</t>
  </si>
  <si>
    <t>TC_FT_004</t>
  </si>
  <si>
    <t>Validate fotter link 'Privacy Policy'</t>
  </si>
  <si>
    <t>TC_FT_005</t>
  </si>
  <si>
    <t>Validate footer link 'Term &amp; Conditions'</t>
  </si>
  <si>
    <t>TC_FT_006</t>
  </si>
  <si>
    <t>Validate footer link 'Contact Us'</t>
  </si>
  <si>
    <t>TC_FT_007</t>
  </si>
  <si>
    <t>Validate footer link ' Returns'</t>
  </si>
  <si>
    <t>TC_FT_008</t>
  </si>
  <si>
    <t>Validate footer link 'Site Map'</t>
  </si>
  <si>
    <t>TC_FT_009</t>
  </si>
  <si>
    <t>Validate footer link 'Brands'</t>
  </si>
  <si>
    <t>TC_FT_010</t>
  </si>
  <si>
    <t>Validate footer link 'Gift Voucher'</t>
  </si>
  <si>
    <t>TC_FT_011</t>
  </si>
  <si>
    <t>Validate footer link 'Affiliates'</t>
  </si>
  <si>
    <t>TC_FT_012</t>
  </si>
  <si>
    <t>Validate footer link 'Specials'</t>
  </si>
  <si>
    <t>TC_FT_013</t>
  </si>
  <si>
    <t>Validate footer link 'My Account'</t>
  </si>
  <si>
    <t>TC_FT_014</t>
  </si>
  <si>
    <t>Validate footer link 'Order History'</t>
  </si>
  <si>
    <t>TC_FT_015</t>
  </si>
  <si>
    <t>Validate footer link 'Wish List'</t>
  </si>
  <si>
    <t>TC_FT_016</t>
  </si>
  <si>
    <t>Validate footer link 'Newletter'</t>
  </si>
  <si>
    <t>TC_PP_001</t>
  </si>
  <si>
    <t>Validate product page contain a complete elements</t>
  </si>
  <si>
    <t>Open application,
Open product page</t>
  </si>
  <si>
    <t>1. Validate product page element (Validate ER-1)</t>
  </si>
  <si>
    <t xml:space="preserve">Product page should contain following sections :
Product image, Product details, Cart, Rating/Sharing, Description tab, Review tab
</t>
  </si>
  <si>
    <t>TC_PP_002</t>
  </si>
  <si>
    <t>Validate product images displayed correctly</t>
  </si>
  <si>
    <t>1. Validate product page image (Validate ER-1)</t>
  </si>
  <si>
    <t>Product image can be displayed under title on the left-side, along with alternate views of the product underneath it in smaller box</t>
  </si>
  <si>
    <t>TC_PP_003</t>
  </si>
  <si>
    <t>Validate product images expand functionality</t>
  </si>
  <si>
    <t>1. Click on main image
2. Validate expand function (Validate ER-1)</t>
  </si>
  <si>
    <t>Product image should expand within the window</t>
  </si>
  <si>
    <t>TC_PP_004</t>
  </si>
  <si>
    <t>Validate product details information</t>
  </si>
  <si>
    <t>1. Validate product details ( Validate ER-1)</t>
  </si>
  <si>
    <t>Product details should contain :
The product code, availability, price
and displayed correctly</t>
  </si>
  <si>
    <t>TC_PP_005</t>
  </si>
  <si>
    <t>Validate accept product quantity</t>
  </si>
  <si>
    <t>1. Input test data into quantity box - &lt;Refer test data&gt;
2. Click 'Add to Cart' button
3. Validate product details (Validate ER-1)</t>
  </si>
  <si>
    <t>Quantity : 5</t>
  </si>
  <si>
    <t>Product added to cart successfully</t>
  </si>
  <si>
    <t>TC_PP_006</t>
  </si>
  <si>
    <t>Validate reject product quantity</t>
  </si>
  <si>
    <t>Quantity : -5
Quantity : two</t>
  </si>
  <si>
    <t>Error message should appear "Please input quantity correctly"</t>
  </si>
  <si>
    <t>TC_PP_007</t>
  </si>
  <si>
    <t>Validate availability of product</t>
  </si>
  <si>
    <t>Open application,
Open product page,
Product is available</t>
  </si>
  <si>
    <t>1. Validate product availability (Validate ER-1)</t>
  </si>
  <si>
    <t>Product detail availability should be : 'In Stock' and 'Add to Cart' button should be enabled</t>
  </si>
  <si>
    <t>TC_PP_008</t>
  </si>
  <si>
    <t>Validate unavailability of product</t>
  </si>
  <si>
    <t>Open application,
Open product page,
Product is out of stock</t>
  </si>
  <si>
    <t>Product detail availability should be : 'Out of Stock' and 'Add to Cart' button should be disabled</t>
  </si>
  <si>
    <t>TC_PP_009</t>
  </si>
  <si>
    <t>Validate wish list funtionality</t>
  </si>
  <si>
    <t>1. Click on 'wish list' button above the product name(Hearth Symbol)
2. Validate the result (Validate ER-1)</t>
  </si>
  <si>
    <t>Page should display "Wish list added successfully"</t>
  </si>
  <si>
    <t>TC_PP_010</t>
  </si>
  <si>
    <t>Validate compare funtionality</t>
  </si>
  <si>
    <t>1. Click on 'compare' button above the product name(next to 'wish list' button)
2. Validate the result (Validate ER-1)</t>
  </si>
  <si>
    <t>Product should added to compare list</t>
  </si>
  <si>
    <t>TC_PP_011</t>
  </si>
  <si>
    <t>Validate rating functionality</t>
  </si>
  <si>
    <t>1. Click on the star underneath 'Add to Cart' button
2. Validate the result (Validate ER-1)</t>
  </si>
  <si>
    <t>The star should change based on average of total star</t>
  </si>
  <si>
    <t>TC_PP_012</t>
  </si>
  <si>
    <t>Validate sharing funtionality</t>
  </si>
  <si>
    <t>1. Click on social media button
2. Validate the result (Validate ER-1)</t>
  </si>
  <si>
    <t>Should open new window that connect to selected platform</t>
  </si>
  <si>
    <t>TC_PP_013</t>
  </si>
  <si>
    <t>Validate description tab display correctly</t>
  </si>
  <si>
    <t>1. Validate product description ( Validate ER-1)</t>
  </si>
  <si>
    <t>Detailed description of the product should display correctly</t>
  </si>
  <si>
    <t>TC_PP_014</t>
  </si>
  <si>
    <t>Validate review functionality</t>
  </si>
  <si>
    <t>1. Click on 'write a review' link underneath 'Add to Cart' button
2. Write review(s) - &lt;Refer test data&gt;
3. Click send (Validate ER-1)</t>
  </si>
  <si>
    <t>This product is over heat easily'</t>
  </si>
  <si>
    <t>Should display message 'Review succesful thank you for your review'</t>
  </si>
  <si>
    <t>TC_PP_015</t>
  </si>
  <si>
    <t>Validate review functionality - error</t>
  </si>
  <si>
    <t>1. Click on 'write a review' link underneath 'Add to Cart' button
2. Do not input any text in review
3. Click send (Validate ER-1)</t>
  </si>
  <si>
    <t>Should display a required fied or 'please write a review' message</t>
  </si>
  <si>
    <t>TC_PP_016</t>
  </si>
  <si>
    <t>Validate category listing product</t>
  </si>
  <si>
    <t>Open application,
Select Category from 'top menu'</t>
  </si>
  <si>
    <t>1. Validate category page(Validate ER-1)</t>
  </si>
  <si>
    <t>Should display selection of products based on category</t>
  </si>
  <si>
    <t>TC_PP_017</t>
  </si>
  <si>
    <t>Validate category listing product - 'Category'</t>
  </si>
  <si>
    <t>1. Validate category page displayed corectly (Validate ER-1)</t>
  </si>
  <si>
    <t>Should display the following elements :
Parent category tab on the left side of the screen that list sub-category underneath</t>
  </si>
  <si>
    <t>TC_PP_018</t>
  </si>
  <si>
    <t>Validate sub-category functionality</t>
  </si>
  <si>
    <t>1. Click on selected sub-category - &lt;Refer test data&gt;
2. Validate result (Validate ER-1)</t>
  </si>
  <si>
    <t>Sub categoty : Mac</t>
  </si>
  <si>
    <t>Product list should change based on selected sub-category</t>
  </si>
  <si>
    <t>TC_PP_019</t>
  </si>
  <si>
    <t>Validate sub-category functionality - empty</t>
  </si>
  <si>
    <t>1. Click on selected  sub-category - &lt;Refer test data&gt;
2. Validate result (Validate ER-1)</t>
  </si>
  <si>
    <t>Sub categoty : Software</t>
  </si>
  <si>
    <t>Product list should display message 'There is no product in this section'</t>
  </si>
  <si>
    <t>TC_PP_020</t>
  </si>
  <si>
    <t>Validate displayed preference - listing type option</t>
  </si>
  <si>
    <t>there are 2 type avialable by 'list' or 'grid'</t>
  </si>
  <si>
    <t>TC_PP_021</t>
  </si>
  <si>
    <t>Validate displayed preference - listing type selection</t>
  </si>
  <si>
    <t>1. Select display type - &lt;Refer test data&gt;
2. Validate result (Validate ER-1)</t>
  </si>
  <si>
    <t>display type : list</t>
  </si>
  <si>
    <t>Product list should change displayed type to list</t>
  </si>
  <si>
    <t>TC_PP_022</t>
  </si>
  <si>
    <t>Validate displayed preference - sorting option</t>
  </si>
  <si>
    <t>1. Click on sorting dropdown box
2. Validate result (Validate ER-1)</t>
  </si>
  <si>
    <t>there are option for sorting as following : by name, price, rating, model</t>
  </si>
  <si>
    <t>TC_PP_023</t>
  </si>
  <si>
    <t>Validate displayed preference - sorting selection</t>
  </si>
  <si>
    <t>1. Click on sorting dropdown box
2. Select sorting type - &lt;Refer test data&gt;
3. Validate result (Validate ER-1)</t>
  </si>
  <si>
    <t>Sorting by : Price</t>
  </si>
  <si>
    <t>Product list should displayed and ordering by price</t>
  </si>
  <si>
    <t>TC_PP_024</t>
  </si>
  <si>
    <t>Validate displayed preference - displaying number</t>
  </si>
  <si>
    <t>1. Click on show dropdown box
2. Validate result (Validate ER-1)</t>
  </si>
  <si>
    <t>Amount of product displayed can change from 15 up to 100</t>
  </si>
  <si>
    <t>TC_PP_025</t>
  </si>
  <si>
    <t xml:space="preserve">Validate displayed preference - displaying number selection </t>
  </si>
  <si>
    <t>1. Click on show dropdown box
2. Select amount for displaying the product - &lt;Refer test data&gt;
3. Validate result (Validate ER-1)</t>
  </si>
  <si>
    <t>Amount : 15</t>
  </si>
  <si>
    <t>Amount of product displayed should be maximum at 15</t>
  </si>
  <si>
    <t>TC_PP_026</t>
  </si>
  <si>
    <t xml:space="preserve">Validate displayed preference - displaying number selection product not enough </t>
  </si>
  <si>
    <t>Amount : 100</t>
  </si>
  <si>
    <t>The remaining amount should not shown at all</t>
  </si>
  <si>
    <t>TC_PP_027</t>
  </si>
  <si>
    <t>Validate access to product comparison page</t>
  </si>
  <si>
    <t>1. Add product to compare list by click 'Compare this product' button - &lt;Refer test data&gt;
2. Click 'Product Compare' button on top left side of product list
3. Validate result (Validate ER-1)</t>
  </si>
  <si>
    <t>Product : iMac &amp; MacBook</t>
  </si>
  <si>
    <t>Should navigate user to product comparison page</t>
  </si>
  <si>
    <t>TC_PP_028</t>
  </si>
  <si>
    <t>Validate product comparison page elements</t>
  </si>
  <si>
    <t>Open application,Open compare product page</t>
  </si>
  <si>
    <t>The product comparison page should displayed 2 or more product compare to each other. the specifications that has to compare will contain these following:
product name, product image, price, features(show differently depend on product type) with a button to add product to cart or remove from compare list</t>
  </si>
  <si>
    <t>TC_PP_029</t>
  </si>
  <si>
    <t>Validate product comparison add product to cart</t>
  </si>
  <si>
    <t>1.Click 'Add to Cart' button underneath selected product - &lt;Refer test data&gt;
2.Validate result (Validate ER-1)</t>
  </si>
  <si>
    <t>Process to next page and show a successful added to cart message with a button for return to home page</t>
  </si>
  <si>
    <t>TC_PP_030</t>
  </si>
  <si>
    <t>Validate product comparison remove product from comparison list</t>
  </si>
  <si>
    <t>1.Click 'Remove' button underneath selected product - &lt;Refer test data&gt;
2.Validate result (Validate ER-1)</t>
  </si>
  <si>
    <t>MacBook Air</t>
  </si>
  <si>
    <t>Selected product should be removed from product comparison page</t>
  </si>
  <si>
    <t>TC_SC_001</t>
  </si>
  <si>
    <t>Validate access to shopping cart page</t>
  </si>
  <si>
    <t>Open application,
Added product to the cart</t>
  </si>
  <si>
    <t>1. Click 'Shopping Cart' in header
2. Validate result (Validate ER-1)</t>
  </si>
  <si>
    <t>Redirect user to 'Shopping Cart Page'</t>
  </si>
  <si>
    <t>TC_SC_002</t>
  </si>
  <si>
    <t>Validate shopping cart page content - cart</t>
  </si>
  <si>
    <t>Open application,
Added product to the cart,
Open shopping cart page</t>
  </si>
  <si>
    <t>Shopping cart page should show following element correctly :
header, image, product name, model, quantity, unit price, total</t>
  </si>
  <si>
    <t>TC_SC_003</t>
  </si>
  <si>
    <t>Validate cart functionality  - change quantity of the product</t>
  </si>
  <si>
    <t>1. Change quantity -&lt;Refer test data&gt;
2. Click refresh button next to quality 
3. Validate result (Validate ER-1)</t>
  </si>
  <si>
    <t>Total price , Eco Tax, VAT should be updated</t>
  </si>
  <si>
    <t>TC_SC_004</t>
  </si>
  <si>
    <t>Validate cart functionality - increase quantity of the product - out of stock</t>
  </si>
  <si>
    <t>Quantity : 200</t>
  </si>
  <si>
    <t>Should show a message "your quantity of the product is more than the current stock please lower the quantity or cancel the order"</t>
  </si>
  <si>
    <t>TC_SC_005</t>
  </si>
  <si>
    <t>Validate cart functionality - decrease quantity of the product - lower than 1</t>
  </si>
  <si>
    <t>Quantity : 0</t>
  </si>
  <si>
    <t>Should not accept the number 0 in quantity or remove item from cart</t>
  </si>
  <si>
    <t>TC_SC_006</t>
  </si>
  <si>
    <t>Validate cart functionality - remove item</t>
  </si>
  <si>
    <t>1. Click 'X' symbol next to refresh button
2. Validate result (Validate ER-1)</t>
  </si>
  <si>
    <t>The product should be removed from cart</t>
  </si>
  <si>
    <t>TC_SC_007</t>
  </si>
  <si>
    <t>Validate shopping cart page content - option</t>
  </si>
  <si>
    <t>User can use these following option :
apply coupon, estimating shipping &amp; taxes, use gift certificate</t>
  </si>
  <si>
    <t>TC_SC_008</t>
  </si>
  <si>
    <t>Validate coupon tab show</t>
  </si>
  <si>
    <t>1. Click on 'Use coupon code' (Validate ER-1)</t>
  </si>
  <si>
    <t xml:space="preserve">1. coupon tab should appear </t>
  </si>
  <si>
    <t>TC_SC_009</t>
  </si>
  <si>
    <t>Validate coupon tab hidden</t>
  </si>
  <si>
    <t>Open application,
Added product to the cart,
Open shopping cart page,
Open a coupon tab</t>
  </si>
  <si>
    <t>1. coupon tab should hidden</t>
  </si>
  <si>
    <t>TC_SC_010</t>
  </si>
  <si>
    <t>Validate valid coupon</t>
  </si>
  <si>
    <t>1. Enter coupon code -&lt;Refer test data&gt;
2. Validate result (Validate ER-1)</t>
  </si>
  <si>
    <t>HNY2026</t>
  </si>
  <si>
    <t>Coupon code should be accepct and calculated discount should display</t>
  </si>
  <si>
    <t>TC_SC_011</t>
  </si>
  <si>
    <t>Validate invalid coupon - expired</t>
  </si>
  <si>
    <t>1. Click on 'Use coupon code' (Validate ER-1)
2. Enter coupon code -&lt;Refer test data&gt;
3. Validate result (Validate ER-1)</t>
  </si>
  <si>
    <t>HNY2000</t>
  </si>
  <si>
    <t>Should display message "this coupon code is expired"</t>
  </si>
  <si>
    <t>TC_SC_012</t>
  </si>
  <si>
    <t>Validate invalid coupon - wrong coupon</t>
  </si>
  <si>
    <t>FACEBOOK</t>
  </si>
  <si>
    <t>Should display message "this coupon code is invalid"</t>
  </si>
  <si>
    <t>TC_SC_013</t>
  </si>
  <si>
    <t>Validate invalid coupon - boundary</t>
  </si>
  <si>
    <t>A,Happynewyaer2026</t>
  </si>
  <si>
    <t>Should not accept coupon that not in boundary ( 5-10 characters)</t>
  </si>
  <si>
    <t>TC_SC_014</t>
  </si>
  <si>
    <t>Validate estimate &amp; shipping taxes show</t>
  </si>
  <si>
    <t>1. Click on 'Estimate Shipping &amp; Taxes' 
2. Validate result (Validate ER-1)</t>
  </si>
  <si>
    <t xml:space="preserve"> 'Estimate Shipping &amp; Taxes' should appear below the tab, should contain following details : 
Country input, Region input, Post code input and Get Quotes button.</t>
  </si>
  <si>
    <t>TC_SC_015</t>
  </si>
  <si>
    <t>Validate estimate &amp; shipping taxes hidden</t>
  </si>
  <si>
    <t>Open application,
Added product to the cart,
Open shopping cart page,
Open estimate &amp; shipping taxes tab</t>
  </si>
  <si>
    <t>The tab should hidden</t>
  </si>
  <si>
    <t>TC_SC_016</t>
  </si>
  <si>
    <t>Validate country selection - default</t>
  </si>
  <si>
    <t>Default country should be 'United Kingdom'</t>
  </si>
  <si>
    <t>TC_SC_017</t>
  </si>
  <si>
    <t>Validate country selection</t>
  </si>
  <si>
    <t>1. Click dropdown button on Country tab (Validate ER-1)
2. Select country - &lt;Refer test data&gt;
3. Validate result (Validate ER-2)</t>
  </si>
  <si>
    <t>Thailand</t>
  </si>
  <si>
    <t>1. Country list should appear in dropdown selection format
2. Selected country should show in country tab</t>
  </si>
  <si>
    <t>TC_SC_018</t>
  </si>
  <si>
    <t>Validate country selection - required field</t>
  </si>
  <si>
    <t>1. Select country -&lt;Refer test data&gt;
2. Click 'Get Quotes' button
3. Validate result (Validate ER-1)</t>
  </si>
  <si>
    <t>Country : Please Select</t>
  </si>
  <si>
    <t>Country should not be possible to send null option,Country tab should be required field</t>
  </si>
  <si>
    <t>TC_SC_019</t>
  </si>
  <si>
    <t>Validate 'Region/State' selection - default</t>
  </si>
  <si>
    <t>1.Validate result (Validate ER-1)</t>
  </si>
  <si>
    <t>Default option should be --None-- due to not yet select country</t>
  </si>
  <si>
    <t>TC_SC_020</t>
  </si>
  <si>
    <t>Validate 'Region/State' selection - selection list</t>
  </si>
  <si>
    <t>1. Select country -&lt;Refer test data&gt;
2. Validate result (Validate ER-1)</t>
  </si>
  <si>
    <t>Country : Thailand</t>
  </si>
  <si>
    <t xml:space="preserve">1. All Region/State in selected country should appear on region/state drop down list </t>
  </si>
  <si>
    <t>TC_SC_021</t>
  </si>
  <si>
    <t>Validate 'Region/State' selection - selection</t>
  </si>
  <si>
    <t>Open application,
Added product to the cart,
Open shopping cart page,
Open estimate &amp; shipping taxes tab,
Select country</t>
  </si>
  <si>
    <t>1. Select country -&lt;Refer test data (country)&gt;
2. Validate result (Validate ER-1)
3. Select state -&lt;Refer test data (state/region)&gt;
4. Validate result (Validate ER-2)</t>
  </si>
  <si>
    <t>Country : Thailand,
Region/State : krabi</t>
  </si>
  <si>
    <t>1. All Region/State in selected country should appear on region/state drop down list 
2. Selected option should show in 'Region/State' tab</t>
  </si>
  <si>
    <t>TC_SC_022</t>
  </si>
  <si>
    <t>Validate 'Region/State' selection - invalid</t>
  </si>
  <si>
    <t>1. Select country -&lt;Refer test data (country)&gt;
2. Validate result (Validate ER-1)
3. Select state -&lt;Refer test data (state/region)&gt;
4. Validate result (Validate ER-2,ER-3,ER-4)</t>
  </si>
  <si>
    <t>Country : Thailand
Region/State : Please Select</t>
  </si>
  <si>
    <t>1. All Region/State in selected country should appear on region/state drop down list 
2. Region/state should not be possible to send null option
3. Region/state tab should be required field
4. Error message 'Please select region / state !' should appear</t>
  </si>
  <si>
    <t>TC_SC_023</t>
  </si>
  <si>
    <t>Validate 'Post Code' data - valid</t>
  </si>
  <si>
    <t>1. Enter post code -&lt;Refer test data&gt;
2. Click 'Get Quotes' button
3. Validate result (Validate ER-1)</t>
  </si>
  <si>
    <t>Post code : 13000</t>
  </si>
  <si>
    <t>1. Should accept entered post code</t>
  </si>
  <si>
    <t>TC_SC_024</t>
  </si>
  <si>
    <t>Validate 'Post Code' data - invalid (not usable in any format)</t>
  </si>
  <si>
    <t>Post code : abcdefg</t>
  </si>
  <si>
    <t>1. Should show error message 'Please input valid post code'</t>
  </si>
  <si>
    <t>TC_SC_025</t>
  </si>
  <si>
    <t>Validate 'Post Code' data - invalid (usable in other region but not selected one)</t>
  </si>
  <si>
    <t>Post code : A1A</t>
  </si>
  <si>
    <t>TC_SC_026</t>
  </si>
  <si>
    <t>Validate estimate &amp; shipping taxes calculation</t>
  </si>
  <si>
    <t>1. Select country,region/state,postcode -&lt;Refer test data&gt;
2. Click 'Get Quotes' button
3. Validate result (Validate ER-1)</t>
  </si>
  <si>
    <t>Country : Thailand,
Region/State : Bangkok,
Post code : 10230</t>
  </si>
  <si>
    <t>1. Show calculated shipping fee &amp; method available</t>
  </si>
  <si>
    <t>TC_SC_027</t>
  </si>
  <si>
    <t>Validate shipping method selection</t>
  </si>
  <si>
    <t>Open application,
Added product to the cart,
Open shopping cart page,
Open estimate &amp; shipping taxes tab,
calculated shipping location</t>
  </si>
  <si>
    <t>1. Select shipping method -&lt;Refer test data&gt;
2. Click 'Apply Shipping' button</t>
  </si>
  <si>
    <t>Flat Shipping Rate - $5.00</t>
  </si>
  <si>
    <t>1. Shipping fee should appear and calculated in price calculation</t>
  </si>
  <si>
    <t>TC_SC_028</t>
  </si>
  <si>
    <t>Validate use gift certificate shown</t>
  </si>
  <si>
    <t>1. Click on 'Use Gift Certificate' 
2. Validate result (Validate ER-1)</t>
  </si>
  <si>
    <t>1. gift certificate input tab should appear below 'Use Gift Certificate'</t>
  </si>
  <si>
    <t>TC_SC_029</t>
  </si>
  <si>
    <t>Validate use gift certificate hidden</t>
  </si>
  <si>
    <t>Open application,
Added product to the cart,
Open shopping cart page,
Open gift certificate tab</t>
  </si>
  <si>
    <t>1. gift certificate input tab should disappear</t>
  </si>
  <si>
    <t>TC_SC_030</t>
  </si>
  <si>
    <t>Validate valid gift certificate</t>
  </si>
  <si>
    <t>1. Input gift certificate
2. Validate result (Validate ER-1)</t>
  </si>
  <si>
    <t>MyGift2026</t>
  </si>
  <si>
    <t>1. code accept and show result (discount / free item ) on shopping cart / calculation tab</t>
  </si>
  <si>
    <t>TC_SC_031</t>
  </si>
  <si>
    <t>Validate invalid gift certificate</t>
  </si>
  <si>
    <t>MyGift 2555,null,A</t>
  </si>
  <si>
    <t>Should show message ' Warning: Gift Certificate is either invalid or the balance has been used up!'</t>
  </si>
  <si>
    <t>TC_SC_032</t>
  </si>
  <si>
    <t>Validate shopping cart page content - detailed price</t>
  </si>
  <si>
    <t>User can confirm the price details on the item which show under the extra option which contain:
Sub-total, Eco Tax, Vat, Total</t>
  </si>
  <si>
    <t>TC_SC_033</t>
  </si>
  <si>
    <t>Validate shopping cart page content - detailed price calculation</t>
  </si>
  <si>
    <t>Result of detailed price should shown correctly</t>
  </si>
  <si>
    <t>TC_SC_034</t>
  </si>
  <si>
    <t>Validate 'Continue Shopping' button</t>
  </si>
  <si>
    <t>1. Click on 'Continue Shopping' button
2. Validate result (Validate ER-1)</t>
  </si>
  <si>
    <t>Should redirect user to home page / all record item should still in cart</t>
  </si>
  <si>
    <t>TC_SC_035</t>
  </si>
  <si>
    <t>Validate 'Checkout' button</t>
  </si>
  <si>
    <t>1. Click on 'Checkout' button
2. Validate result (Validate ER-1)</t>
  </si>
  <si>
    <t>Should redirect user to checkout page</t>
  </si>
  <si>
    <t>TC_ATC_001</t>
  </si>
  <si>
    <t>Add to cart - home page</t>
  </si>
  <si>
    <t>Open Application</t>
  </si>
  <si>
    <t>1. Click cart button on product -&lt;Refer test data&gt;
2. Validate result (ER-1)</t>
  </si>
  <si>
    <t>product : iPhone</t>
  </si>
  <si>
    <t>TC_ATC_002</t>
  </si>
  <si>
    <t>Add to cart - main category</t>
  </si>
  <si>
    <t>1. Click on category -&lt;Refer test data : category&gt;
2. Click cart button on product -&lt;Refer test data : product&gt;
3. Validate result (ER-1)</t>
  </si>
  <si>
    <t>Category : desktop
Product : HP LP3065</t>
  </si>
  <si>
    <t>TC_ATC_003</t>
  </si>
  <si>
    <t>Add to cart - sub category</t>
  </si>
  <si>
    <t>1. Click on category -&lt;Refer test data : category&gt;
2. Click on sub-category -&lt;Refer test data : sub category&gt;
3. Click cart button on product -&lt;Refer test data : product&gt;
4. Validate result (ER-1)</t>
  </si>
  <si>
    <t>Category : desktop
Sub category : Mac
product : iMac</t>
  </si>
  <si>
    <t>TC_ATC_004</t>
  </si>
  <si>
    <t>Add to cart - product comparison</t>
  </si>
  <si>
    <t>Open Application,added product(s) to comparison list</t>
  </si>
  <si>
    <t>1. Click cart button on product in product comparison page
2. Validate result (ER-1)</t>
  </si>
  <si>
    <t>Product : any product on comparison list</t>
  </si>
  <si>
    <t>TC_ATC_005</t>
  </si>
  <si>
    <t>Add to cart - wish list</t>
  </si>
  <si>
    <t>Open Application,added product(s) to wish list</t>
  </si>
  <si>
    <t>1. Open wish list page
2. Click cart button on product in wish list (ER-1)</t>
  </si>
  <si>
    <t>Product : any product on wish list</t>
  </si>
  <si>
    <t>TC_ATC_006</t>
  </si>
  <si>
    <t>Add to cart - brands</t>
  </si>
  <si>
    <t>1. Select brand -&lt;Refer test data : brand&gt;
2. Click cart button on product -&lt;Refer test data : product&gt;</t>
  </si>
  <si>
    <t>Brand : apple
Product : iMac</t>
  </si>
  <si>
    <t>TC_ATC_007</t>
  </si>
  <si>
    <t>Add to cart - search result</t>
  </si>
  <si>
    <t>1. Input search criteria -&lt;Refer test data : criteria&gt;
2. Click cart button on product -&lt;Refer test data : product &gt;</t>
  </si>
  <si>
    <t>Criteria : iPhone
Product : iPhone</t>
  </si>
  <si>
    <t>TC_ATC_008</t>
  </si>
  <si>
    <t>Add to cart - display section</t>
  </si>
  <si>
    <t>1. Select product from display section -&lt;Refer test data : display&gt;
2. Click cart button on product -&lt;Refer test data : product&gt;
3. Validate Result (ER-1)</t>
  </si>
  <si>
    <t>display product : Samsung Galaxy Tab 10.1
product : Samsung Galaxy Tab 10.1</t>
  </si>
  <si>
    <t>TC_ATC_009</t>
  </si>
  <si>
    <t>Add to cart - featured</t>
  </si>
  <si>
    <t>1. Click cart button on product show in featured product -&lt;Refer test data : product&gt;
2. Validate Result (ER-1)</t>
  </si>
  <si>
    <t>product : MacBook</t>
  </si>
  <si>
    <t>TC_ATC_010</t>
  </si>
  <si>
    <t>Add to cart - message - success</t>
  </si>
  <si>
    <t>1. Click cart button on any product -&lt;Refer test data&gt;
2. Validate result (ER-1)</t>
  </si>
  <si>
    <t>product : any</t>
  </si>
  <si>
    <t>Should show message " Success: You have added [product name] to your shopping cart!"</t>
  </si>
  <si>
    <t>TC_ATC_011</t>
  </si>
  <si>
    <t>Add to cart - message - out of stock</t>
  </si>
  <si>
    <t>1. Click cart button on out of stock product -&lt;Refer test data&gt;
2. Validate result (ER-1)</t>
  </si>
  <si>
    <t>Should show message "This product is out of stock"</t>
  </si>
  <si>
    <t>Show message "Success: You have added [product name] to your shopping cart!"</t>
  </si>
  <si>
    <t>TC_WL_001</t>
  </si>
  <si>
    <t>Wish list - success</t>
  </si>
  <si>
    <t>Open Application, logged in</t>
  </si>
  <si>
    <t>1. Click hearth symbol on product -&lt;Refer test data&gt;
2. Validate result (ER-1)</t>
  </si>
  <si>
    <t>item : iPhone</t>
  </si>
  <si>
    <t>Show message " Success: You have added iPhone to your wish list!"</t>
  </si>
  <si>
    <t>TC_WL_002</t>
  </si>
  <si>
    <t>Wish list - not logged in</t>
  </si>
  <si>
    <t>Open Application, not logged in</t>
  </si>
  <si>
    <t>Show message " You must login or create an account to save Apple Cinema 30" to your wish list!"</t>
  </si>
  <si>
    <t>TC_WL_003</t>
  </si>
  <si>
    <t>Wish list - duplicate</t>
  </si>
  <si>
    <t>Open Application, logged in,already added item on wish list</t>
  </si>
  <si>
    <t>1. Click hearth symbol on product that is already on wish list -&lt;Refer test data&gt;
2. Validate result (ER-1)</t>
  </si>
  <si>
    <t>Should show message "This item is already in your wish list"</t>
  </si>
  <si>
    <t>TC_WL_004</t>
  </si>
  <si>
    <t>Wish list page - access</t>
  </si>
  <si>
    <t>1. Click wish list on header
2. Validate result (ER-1)</t>
  </si>
  <si>
    <t>Redirect user to wish list page</t>
  </si>
  <si>
    <t>TC_WL_005</t>
  </si>
  <si>
    <t>Wish list page - empty</t>
  </si>
  <si>
    <t>Should show message "Your wish list is empty"</t>
  </si>
  <si>
    <t>show correct message</t>
  </si>
  <si>
    <t>TC_WL_006</t>
  </si>
  <si>
    <t>Wish list page - have item(s)</t>
  </si>
  <si>
    <t>Should show item detail on wish list contain these information :
image, product name, model, stock, unit price, action(with add to cart and remove button), continue button, account navigation feature on right side</t>
  </si>
  <si>
    <t>show correct information</t>
  </si>
  <si>
    <t>TC_WL_007</t>
  </si>
  <si>
    <t>Wish list - remove item</t>
  </si>
  <si>
    <t>Open Application, logged in,already added item on wish list, enter wish list page</t>
  </si>
  <si>
    <t>1. Click 'X' mark on action tab of selected item -&lt;Refer test data&gt;
2. Validate result (ER-1)</t>
  </si>
  <si>
    <t>selected item should removed from wish list</t>
  </si>
  <si>
    <t>selected item is removed from wish list</t>
  </si>
  <si>
    <t>TC_WL_008</t>
  </si>
  <si>
    <t>Wish list - continue button</t>
  </si>
  <si>
    <t>1. Click continue button
2. Validate result (ER-1)</t>
  </si>
  <si>
    <t>Should redirect to account page</t>
  </si>
  <si>
    <t>Redirect user to account page</t>
  </si>
  <si>
    <t>TC_WL_009</t>
  </si>
  <si>
    <t>Wish list - add wish list item to cart</t>
  </si>
  <si>
    <t>1. Click cart icon on action tab of selected item -&lt;Refer test data&gt;
2. Validate result (ER-1)</t>
  </si>
  <si>
    <t>selected item should added to cart</t>
  </si>
  <si>
    <t>TC_WL_010</t>
  </si>
  <si>
    <t>Wish list - add out of stock wish list item to cart</t>
  </si>
  <si>
    <t>Should show message "This item is out of stock"</t>
  </si>
  <si>
    <t>Show message " Success: You have added iPhone to your shopping cart!
" , text "Warning: Undefined array key "stock_status" in /var/www/opencart.com/web/catalog/controller/account/wishlist.php on line 98Warning: Undefined array key "stock_status" in /var/www/opencart.com/web/catalog/controller/account/wishlist.php on line 98" visible under my wish list</t>
  </si>
  <si>
    <t>TC_CF_001</t>
  </si>
  <si>
    <t>Change currency to USD</t>
  </si>
  <si>
    <t>Open https://demo.opencart.com/</t>
  </si>
  <si>
    <t>1. Click Currency dropdown on header tab
2. Select prefered currency</t>
  </si>
  <si>
    <t>USD($)</t>
  </si>
  <si>
    <t>The price of the product will change to selected currency</t>
  </si>
  <si>
    <t>TC_CF_002</t>
  </si>
  <si>
    <t>Available currency</t>
  </si>
  <si>
    <t xml:space="preserve">1. Click Currency dropdown on header tab
</t>
  </si>
  <si>
    <t>The available currency will show in dropdown list ($ for USD, € for EUR)</t>
  </si>
  <si>
    <t>TC_CO_001</t>
  </si>
  <si>
    <t>Validate checkout - access</t>
  </si>
  <si>
    <t>Open application,add product to cart</t>
  </si>
  <si>
    <t>1. Click checkout on header section
2. Validate result (ER-1)</t>
  </si>
  <si>
    <t>TC_CO_002</t>
  </si>
  <si>
    <t>Validate checkout with guest</t>
  </si>
  <si>
    <t>Open application,add product to cart, click checkout, not logged in</t>
  </si>
  <si>
    <t>1) Will show message "If you already have an account with us, please login at the login page." above personal details section
2) have selection for register / guest checkout shown</t>
  </si>
  <si>
    <t>TC_CO_003</t>
  </si>
  <si>
    <t>Validate checkout with guest (login link)</t>
  </si>
  <si>
    <t>Open application,add product to cart, click checkout, not logged in, select register account</t>
  </si>
  <si>
    <t>1. Click login page link on mesasge
2. Validate result (ER-1)</t>
  </si>
  <si>
    <t>Should navigate user to login page</t>
  </si>
  <si>
    <t>TC_CO_004</t>
  </si>
  <si>
    <t>Validate create password (guest register) - valid</t>
  </si>
  <si>
    <t>1. Select register account checkbox
2. Enter password -&lt;Refer test data&gt;
3. Click continue
4. Validate result (ER-1)</t>
  </si>
  <si>
    <t>password : 123456</t>
  </si>
  <si>
    <t>Should accept password</t>
  </si>
  <si>
    <t>TC_CO_005</t>
  </si>
  <si>
    <t>Validate create password (guest register) - boundary</t>
  </si>
  <si>
    <t>password : 11,ฤโ"897,over 20 characters password</t>
  </si>
  <si>
    <t>will show message "Only accpet password with 4-20 characters with english,number and special characters only " if not in criteria</t>
  </si>
  <si>
    <t>TC_CO_006</t>
  </si>
  <si>
    <t>Validate create password (guest register) - required field</t>
  </si>
  <si>
    <t>1. Select register account checkbox
2. Leave password input empty
3. Click continue
4. Validate result (ER-1)</t>
  </si>
  <si>
    <t>If left input empty system should show this field is required field
should have " * " display next to create password text</t>
  </si>
  <si>
    <t>TC_CO_007</t>
  </si>
  <si>
    <t>Validate create password (guest register) - hidden input</t>
  </si>
  <si>
    <t xml:space="preserve">1. Select register account checkbox
2. Enter password -&lt;Refer test data&gt;
3. Validate result (ER-1)
</t>
  </si>
  <si>
    <t>password : 123456789</t>
  </si>
  <si>
    <t>This field input should display in hidden (******)</t>
  </si>
  <si>
    <t>TC_CO_008</t>
  </si>
  <si>
    <t>Validate guest register - additional section</t>
  </si>
  <si>
    <t>1. Select register account checkbox
2. Validate result (ER-1)</t>
  </si>
  <si>
    <t>Should show password section &amp; additional option for privacy policy</t>
  </si>
  <si>
    <t>TC_CO_009</t>
  </si>
  <si>
    <t>Validate guest register - email duplicate</t>
  </si>
  <si>
    <t>1. Select register account checkbox
2. Enter email -&lt;Refer test data&gt;
3. Click continue
4. Validate result (ER-1)</t>
  </si>
  <si>
    <t>test@gmail.com</t>
  </si>
  <si>
    <t>Should show message "This email is already used, please login"</t>
  </si>
  <si>
    <t>TC_CO_010</t>
  </si>
  <si>
    <t>Validate guest register - switch to guest checkout</t>
  </si>
  <si>
    <t>User on checkout page, selected register account option</t>
  </si>
  <si>
    <t>1. Select guest checkout
2. Validate result (ER-1)</t>
  </si>
  <si>
    <t>Password section &amp; privacy policy option should disappear</t>
  </si>
  <si>
    <t>TC_CO_011</t>
  </si>
  <si>
    <t>Validate switch from guest register to guest checkout should not has any required field error from guest register</t>
  </si>
  <si>
    <t>1. Select guest checkout
2. Click continue
3. Validate result</t>
  </si>
  <si>
    <t>Should not have error message from password &amp; privacy policy</t>
  </si>
  <si>
    <t>TC_CO_012</t>
  </si>
  <si>
    <t>Validate checkout with member</t>
  </si>
  <si>
    <t>Open application,add product to cart, click checkout, logged in</t>
  </si>
  <si>
    <t>Only show payment method, comment and order details</t>
  </si>
  <si>
    <t>TC_CO_013</t>
  </si>
  <si>
    <t>Validate personal details - first name valid</t>
  </si>
  <si>
    <t>Open application,enter checkout page, not logged in</t>
  </si>
  <si>
    <t>1. Enter firstname -&lt;Refer test data&gt;
2. Click continue
3. Validate result (ER-1)</t>
  </si>
  <si>
    <t>Mike</t>
  </si>
  <si>
    <t>Should accept first name</t>
  </si>
  <si>
    <t>TC_CO_014</t>
  </si>
  <si>
    <t>Validate personal details - first name invalid</t>
  </si>
  <si>
    <t>ไมค์</t>
  </si>
  <si>
    <t>Should show error message "Site do not support input language please use english and number only"</t>
  </si>
  <si>
    <t>TC_CO_015</t>
  </si>
  <si>
    <t>Validate personal details - first name required field</t>
  </si>
  <si>
    <t>1. Leave firstname input empty
2. Click continue
3. Validate result (ER-1)</t>
  </si>
  <si>
    <t>Should show message "This field is required" on first name field and have " * " mark to show this field is required</t>
  </si>
  <si>
    <t>TC_CO_016</t>
  </si>
  <si>
    <t>Validate personal details - last name valid</t>
  </si>
  <si>
    <t>1. Enter lastname -&lt;Refer test data&gt;
2. Click continue
3. Validate result (ER-1)</t>
  </si>
  <si>
    <t>Ross</t>
  </si>
  <si>
    <t>Should accpet last name</t>
  </si>
  <si>
    <t>TC_CO_017</t>
  </si>
  <si>
    <t>Validate personal details - last name invalid</t>
  </si>
  <si>
    <t>รอส</t>
  </si>
  <si>
    <t>TC_CO_018</t>
  </si>
  <si>
    <t>Validate personal details - last name required field</t>
  </si>
  <si>
    <t>1. Leave lastname input empty
2. Click continue
3. Validate result (ER-1)</t>
  </si>
  <si>
    <t>Should show message "This field is required" on last name field and have " * " mark to show this field is required</t>
  </si>
  <si>
    <t>TC_CO_019</t>
  </si>
  <si>
    <t>Validate personal details - email valid</t>
  </si>
  <si>
    <t>1. Enter email -&lt;Refer test data&gt;
2. Click continue
3. Validate result</t>
  </si>
  <si>
    <t>TC_CO_020</t>
  </si>
  <si>
    <t>Validate personal details - email invalid</t>
  </si>
  <si>
    <t>_s.com , ไมค์.com, @.com</t>
  </si>
  <si>
    <t>Should show error message " Please input correct email format"</t>
  </si>
  <si>
    <t>TC_CO_021</t>
  </si>
  <si>
    <t>Validate personal details - email not match user account</t>
  </si>
  <si>
    <t>mike@gmail.com</t>
  </si>
  <si>
    <t>Should show confirmation message "This email is not match with your account email please confirm or change the email"</t>
  </si>
  <si>
    <t>TC_CO_022</t>
  </si>
  <si>
    <t>Validate personal details - email required field</t>
  </si>
  <si>
    <t>1. Leave email input empty
2. Click continue
3. Validate result (ER-1)</t>
  </si>
  <si>
    <t>Should show message "This field is required" on email field and have " * " mark to show this field is required</t>
  </si>
  <si>
    <t>TC_CO_026</t>
  </si>
  <si>
    <t>Validate address</t>
  </si>
  <si>
    <t>Address tab should contain :
Company , Address1, Address2, City, Post code, Country, Region/State</t>
  </si>
  <si>
    <t>TC_CO_027</t>
  </si>
  <si>
    <t>Validate address - company</t>
  </si>
  <si>
    <t>1. Enter company name -&lt;Refer test data&gt;
2. Validate result (ER-1)</t>
  </si>
  <si>
    <t>Should accept company name</t>
  </si>
  <si>
    <t>TC_CO_028</t>
  </si>
  <si>
    <t>Validate address - company - boundary</t>
  </si>
  <si>
    <t>แอปเปิ้ล</t>
  </si>
  <si>
    <t>Should only accept english company name and show error "Please input company name in english"</t>
  </si>
  <si>
    <t>TC_CO_029</t>
  </si>
  <si>
    <t>Validate address - company - empty</t>
  </si>
  <si>
    <t>1. Leave company name empty
2. Validate result (ER-1)</t>
  </si>
  <si>
    <t>Should accept empty company name</t>
  </si>
  <si>
    <t>TC_CO_030</t>
  </si>
  <si>
    <t>Validate address - address1 - required field</t>
  </si>
  <si>
    <t>1. Leave address1 field empty
2. Click continue
3. Validate result (ER-1)</t>
  </si>
  <si>
    <t>Should show message "This field is required" on address1 field and have " * " mark to show this field is required</t>
  </si>
  <si>
    <t>TC_CO_031</t>
  </si>
  <si>
    <t>Validate address - address1 - boundary</t>
  </si>
  <si>
    <t>1. Input address -&lt;Refer test data&gt;
2. Click continue
3. Validate result (ER-1)</t>
  </si>
  <si>
    <t>address : any text between 4-255 characters in english</t>
  </si>
  <si>
    <t>Should only accept address with english characters that contain between 4-255 characters</t>
  </si>
  <si>
    <t>TC_CO_032</t>
  </si>
  <si>
    <t>Validate address - address2 -  valid</t>
  </si>
  <si>
    <t>address2 : 55/5</t>
  </si>
  <si>
    <t>Should accept address2</t>
  </si>
  <si>
    <t>TC_CO_033</t>
  </si>
  <si>
    <t>Validate address - address2 -  empty</t>
  </si>
  <si>
    <t>1. Leave address 2 field empty
2. Click continue
3. Validate result (ER-1)</t>
  </si>
  <si>
    <t>Should accept empty address2</t>
  </si>
  <si>
    <t>TC_CO_034</t>
  </si>
  <si>
    <t>Validate address - address2 -  boundary</t>
  </si>
  <si>
    <t>1. Input adress -&lt;Refer test data&gt;
2. Click continue
3. Validate result (ER-1)</t>
  </si>
  <si>
    <t>address2 : any text between 4-255 characters in english</t>
  </si>
  <si>
    <t>Should only accept address with english characters that contain below 255 characters</t>
  </si>
  <si>
    <t>TC_CO_035</t>
  </si>
  <si>
    <t>Validate address - city - valid</t>
  </si>
  <si>
    <t>1.Input city -&lt;Refer test data&gt;
2. Click continue
3. Validate result (ER-1)</t>
  </si>
  <si>
    <t>city : bangkok</t>
  </si>
  <si>
    <t>Should accept city</t>
  </si>
  <si>
    <t>TC_CO_036</t>
  </si>
  <si>
    <t>Validate address - city - boundary</t>
  </si>
  <si>
    <t>city : กรุงเทพ , a</t>
  </si>
  <si>
    <t>Should show message "Please enter correct city name in english only"
Supported language : english name with 4-255 characters</t>
  </si>
  <si>
    <t>TC_CO_037</t>
  </si>
  <si>
    <t>Validate address - city - required field</t>
  </si>
  <si>
    <t>1. Leave city field empty
2. Click continue
3. Validate result (ER-1)</t>
  </si>
  <si>
    <t>Should show message "Please enter city",
City should have " * " mark next to text as "City*"</t>
  </si>
  <si>
    <t>TC_CO_038</t>
  </si>
  <si>
    <t>Validate address - post code - valid</t>
  </si>
  <si>
    <t>1. Input post code -&lt;Refer test data&gt;
2. Click continue
3. Validate result (ER-1)</t>
  </si>
  <si>
    <t>Accpet post code</t>
  </si>
  <si>
    <t>TC_CO_039</t>
  </si>
  <si>
    <t>Validate address - post code - empty</t>
  </si>
  <si>
    <t>1. Leave post code empty
2. Click continue
3. Validate result (ER-1)</t>
  </si>
  <si>
    <t>Should show message "Please in put post code" , have " * " mark show on postcode</t>
  </si>
  <si>
    <t>Validate address - post code - invalid</t>
  </si>
  <si>
    <t>Post code : !#$)@)</t>
  </si>
  <si>
    <t>Should only accpet valid post code : only number, english character with number for some country</t>
  </si>
  <si>
    <t>TC_CO_040</t>
  </si>
  <si>
    <t>Validate address - country - valid</t>
  </si>
  <si>
    <t>1. Click dropdown country list
2. Select country from list 
3. Validate result (ER-1)</t>
  </si>
  <si>
    <t>Country : thailand</t>
  </si>
  <si>
    <t>Selected country should appear as selected on country tab</t>
  </si>
  <si>
    <t>TC_CO_041</t>
  </si>
  <si>
    <t>Validate address - country - required field</t>
  </si>
  <si>
    <t>1. Leave country as --Please select --
2. Click continue
3. Validate result (ER-1)</t>
  </si>
  <si>
    <t>Country : --Please select --</t>
  </si>
  <si>
    <t>Should show message "Please select country"</t>
  </si>
  <si>
    <t>TC_CO_043</t>
  </si>
  <si>
    <t>Validate address - region/state - country selected</t>
  </si>
  <si>
    <t>Open application,enter checkout page, not logged in, selected country</t>
  </si>
  <si>
    <t>1. Click region/state dropdown list
2. Validate result (ER-1)</t>
  </si>
  <si>
    <t>Should show region/state list based on selected country</t>
  </si>
  <si>
    <t>TC_CO_044</t>
  </si>
  <si>
    <t>Validate address - region/state - country not selected</t>
  </si>
  <si>
    <t>Should not selectable</t>
  </si>
  <si>
    <t>Selectable with --Please select -- and --None-- option</t>
  </si>
  <si>
    <t>TC_CO_045</t>
  </si>
  <si>
    <t>Validate address - region/state - required field</t>
  </si>
  <si>
    <t>1. Leave Region/state at --Please Select-- or --None--
2. Validate result (ER-1)</t>
  </si>
  <si>
    <t>Region/State : --Please select-- , --None--</t>
  </si>
  <si>
    <t>Should show message "Please select region/state" and have "*" mark visible</t>
  </si>
  <si>
    <t>TC_CO_046</t>
  </si>
  <si>
    <t>Validate payment methods - available</t>
  </si>
  <si>
    <t>Open application,enter checkout page</t>
  </si>
  <si>
    <t>1. Click choose button on right side of payment field
2. Validate result (ER-1)</t>
  </si>
  <si>
    <t>Should show available payment method</t>
  </si>
  <si>
    <t>guess :Nothing happen
member : "No Payment options are available. Please contact us for assistance!"</t>
  </si>
  <si>
    <t>TC_CO_047</t>
  </si>
  <si>
    <t>Validate payment methods - disable</t>
  </si>
  <si>
    <t>Kbank</t>
  </si>
  <si>
    <t>disabled(temporary) payment method should not selectable or not in the list</t>
  </si>
  <si>
    <t>TC_CO_048</t>
  </si>
  <si>
    <t>Validate payment methods - error</t>
  </si>
  <si>
    <t>Show message " No Payment options are available. Please contact us for assistance!"</t>
  </si>
  <si>
    <t>TC_CO_049</t>
  </si>
  <si>
    <t>Validate payment methods - error - contact us link</t>
  </si>
  <si>
    <t>Open application,enter checkout page,payment error</t>
  </si>
  <si>
    <t>1. Click contact us link on payment error message
2. Validate result (ER-1)</t>
  </si>
  <si>
    <t>Should navigate user to contact us page</t>
  </si>
  <si>
    <t>TC_CO_050</t>
  </si>
  <si>
    <t>Validate payment methods - select</t>
  </si>
  <si>
    <t>1. Click choose button on right side of payment field
2. Select method -&lt;refer test data&gt;-
3. Validate result (ER-1)</t>
  </si>
  <si>
    <t>Visa</t>
  </si>
  <si>
    <t>Should update input to match selected method for enter payment information</t>
  </si>
  <si>
    <t>TC_CO_051</t>
  </si>
  <si>
    <t>Validate payment methods - required field</t>
  </si>
  <si>
    <t>1. Leave payment method empty
2. Click continue</t>
  </si>
  <si>
    <t>Should show message "Payment detail is required"</t>
  </si>
  <si>
    <t>Show message "Customer required"</t>
  </si>
  <si>
    <t>TC_CO_052</t>
  </si>
  <si>
    <t>Validate order comment - default</t>
  </si>
  <si>
    <t>Order comment should place below payment method and not a required field</t>
  </si>
  <si>
    <t>TC_CO_053</t>
  </si>
  <si>
    <t>Validate order comment - empty</t>
  </si>
  <si>
    <t>1. Leave comment empty
2. Validate result (ER-1)</t>
  </si>
  <si>
    <t>Order commnet should accept empty input</t>
  </si>
  <si>
    <t>TC_CO_054</t>
  </si>
  <si>
    <t>Validate order comment - valid</t>
  </si>
  <si>
    <t>1. Input comment
2. Validate result (ER-1)</t>
  </si>
  <si>
    <t>text : hello</t>
  </si>
  <si>
    <t>Should show message "comment added"</t>
  </si>
  <si>
    <t>TC_CO_055</t>
  </si>
  <si>
    <t>Validate order comment - boundary</t>
  </si>
  <si>
    <t>Valid : 123456abcd
Invalid : over 256 characters text or unsupport language</t>
  </si>
  <si>
    <t>Only accept english and number text which not over 256 characters</t>
  </si>
  <si>
    <t>TC_CO_056</t>
  </si>
  <si>
    <t>Validate billing details - default</t>
  </si>
  <si>
    <t>Billing detail should split in to two main section
1. product detail which contain quantity,product name, total
2. detailed price which contain sub-total,eco tax, vat, total</t>
  </si>
  <si>
    <t>TC_CO_057</t>
  </si>
  <si>
    <t>Validate billing details - item calculation</t>
  </si>
  <si>
    <t>Item calculation should show correct price for total number of item(s)</t>
  </si>
  <si>
    <t>TC_CO_058</t>
  </si>
  <si>
    <t>Validate billing details - detail price calculation - overall</t>
  </si>
  <si>
    <t>detail price should contain eco tax, vat, total</t>
  </si>
  <si>
    <t>TC_CO_059</t>
  </si>
  <si>
    <t>Validate billing details - detail price calculation - eco tax</t>
  </si>
  <si>
    <t>Eco tax should only calculated from eco taxable product</t>
  </si>
  <si>
    <t>TC_CO_060</t>
  </si>
  <si>
    <t>Validate billing details - detail price calculation - vat</t>
  </si>
  <si>
    <t>vat should show correctly</t>
  </si>
  <si>
    <t>TC_CO_061</t>
  </si>
  <si>
    <t>Validate billing details - detail price calculation - total</t>
  </si>
  <si>
    <t>total price should match sum of total product price</t>
  </si>
  <si>
    <t>TC_CO_062</t>
  </si>
  <si>
    <t>Validate delivery details - same address as billing address</t>
  </si>
  <si>
    <t>Open application,enter checkout page, enter billing details</t>
  </si>
  <si>
    <t>TC_CO_063</t>
  </si>
  <si>
    <t>Validate delivery details different address for delivery</t>
  </si>
  <si>
    <t>TC_CO_064</t>
  </si>
  <si>
    <t>Validate delivery details not selected</t>
  </si>
  <si>
    <t>TC_CO_065</t>
  </si>
  <si>
    <t>Validate delivery methods - valid</t>
  </si>
  <si>
    <t>TC_CO_066</t>
  </si>
  <si>
    <t>Validate delivery methods - not available</t>
  </si>
  <si>
    <t>TC_CO_067</t>
  </si>
  <si>
    <t>Validate delivery methods - required</t>
  </si>
  <si>
    <t>TC_CO_068</t>
  </si>
  <si>
    <t>Validate confirm order</t>
  </si>
  <si>
    <t>Open application,enter checkout page, enter billing details,select delivery methods,select payment methods</t>
  </si>
  <si>
    <t>TC_CO_069</t>
  </si>
  <si>
    <t>Validate order complete</t>
  </si>
  <si>
    <t>Open application,enter checkout page, enter billing details,select delivery methods,select payment methods,confirm order</t>
  </si>
  <si>
    <t>TC_CO_070</t>
  </si>
  <si>
    <t>Validate order 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</si>
</sst>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30">
    <font>
      <sz val="11"/>
      <color theme="1"/>
      <name val="TH Sarabun PSK"/>
      <charset val="134"/>
      <scheme val="minor"/>
    </font>
    <font>
      <b/>
      <sz val="11"/>
      <color theme="0"/>
      <name val="TH Sarabun PSK"/>
      <charset val="134"/>
      <scheme val="minor"/>
    </font>
    <font>
      <u/>
      <sz val="14"/>
      <color rgb="FF0000FF"/>
      <name val="TH Sarabun PSK"/>
      <charset val="0"/>
      <scheme val="minor"/>
    </font>
    <font>
      <u/>
      <sz val="14"/>
      <color rgb="FF800080"/>
      <name val="TH Sarabun PSK"/>
      <charset val="0"/>
      <scheme val="minor"/>
    </font>
    <font>
      <sz val="11"/>
      <name val="TH Sarabun PSK"/>
      <charset val="0"/>
      <scheme val="major"/>
    </font>
    <font>
      <sz val="11"/>
      <name val="TH Sarabun PSK"/>
      <charset val="134"/>
      <scheme val="major"/>
    </font>
    <font>
      <sz val="11"/>
      <color theme="1"/>
      <name val="TH Sarabun PSK"/>
      <charset val="134"/>
      <scheme val="major"/>
    </font>
    <font>
      <b/>
      <sz val="11"/>
      <color theme="1"/>
      <name val="TH Sarabun PSK"/>
      <charset val="134"/>
      <scheme val="minor"/>
    </font>
    <font>
      <b/>
      <sz val="10"/>
      <color theme="0"/>
      <name val="TH Sarabun PSK"/>
      <charset val="134"/>
      <scheme val="minor"/>
    </font>
    <font>
      <sz val="11"/>
      <name val="TH Sarabun PSK"/>
      <charset val="134"/>
      <scheme val="minor"/>
    </font>
    <font>
      <b/>
      <sz val="22"/>
      <color theme="8"/>
      <name val="TH Sarabun PSK"/>
      <charset val="134"/>
      <scheme val="minor"/>
    </font>
    <font>
      <sz val="11"/>
      <color theme="0"/>
      <name val="Montserrat"/>
      <charset val="134"/>
    </font>
    <font>
      <b/>
      <strike/>
      <sz val="11"/>
      <color theme="0"/>
      <name val="Montserrat"/>
      <charset val="134"/>
    </font>
    <font>
      <b/>
      <sz val="11"/>
      <color theme="0"/>
      <name val="Montserrat"/>
      <charset val="134"/>
    </font>
    <font>
      <sz val="14"/>
      <color rgb="FFFF0000"/>
      <name val="TH Sarabun PSK"/>
      <charset val="0"/>
      <scheme val="minor"/>
    </font>
    <font>
      <b/>
      <sz val="18"/>
      <color theme="3"/>
      <name val="TH Sarabun PSK"/>
      <charset val="134"/>
      <scheme val="minor"/>
    </font>
    <font>
      <i/>
      <sz val="14"/>
      <color rgb="FF7F7F7F"/>
      <name val="TH Sarabun PSK"/>
      <charset val="0"/>
      <scheme val="minor"/>
    </font>
    <font>
      <b/>
      <sz val="15"/>
      <color theme="3"/>
      <name val="TH Sarabun PSK"/>
      <charset val="134"/>
      <scheme val="minor"/>
    </font>
    <font>
      <b/>
      <sz val="14"/>
      <color theme="3"/>
      <name val="TH Sarabun PSK"/>
      <charset val="134"/>
      <scheme val="minor"/>
    </font>
    <font>
      <sz val="14"/>
      <color rgb="FF3F3F76"/>
      <name val="TH Sarabun PSK"/>
      <charset val="0"/>
      <scheme val="minor"/>
    </font>
    <font>
      <b/>
      <sz val="14"/>
      <color rgb="FF3F3F3F"/>
      <name val="TH Sarabun PSK"/>
      <charset val="0"/>
      <scheme val="minor"/>
    </font>
    <font>
      <b/>
      <sz val="14"/>
      <color rgb="FFFA7D00"/>
      <name val="TH Sarabun PSK"/>
      <charset val="0"/>
      <scheme val="minor"/>
    </font>
    <font>
      <b/>
      <sz val="14"/>
      <color rgb="FFFFFFFF"/>
      <name val="TH Sarabun PSK"/>
      <charset val="0"/>
      <scheme val="minor"/>
    </font>
    <font>
      <sz val="14"/>
      <color rgb="FFFA7D00"/>
      <name val="TH Sarabun PSK"/>
      <charset val="0"/>
      <scheme val="minor"/>
    </font>
    <font>
      <b/>
      <sz val="14"/>
      <color theme="1"/>
      <name val="TH Sarabun PSK"/>
      <charset val="0"/>
      <scheme val="minor"/>
    </font>
    <font>
      <sz val="14"/>
      <color rgb="FF006100"/>
      <name val="TH Sarabun PSK"/>
      <charset val="0"/>
      <scheme val="minor"/>
    </font>
    <font>
      <sz val="14"/>
      <color rgb="FF9C0006"/>
      <name val="TH Sarabun PSK"/>
      <charset val="0"/>
      <scheme val="minor"/>
    </font>
    <font>
      <sz val="14"/>
      <color rgb="FF9C6500"/>
      <name val="TH Sarabun PSK"/>
      <charset val="0"/>
      <scheme val="minor"/>
    </font>
    <font>
      <sz val="14"/>
      <color theme="0"/>
      <name val="TH Sarabun PSK"/>
      <charset val="0"/>
      <scheme val="minor"/>
    </font>
    <font>
      <sz val="14"/>
      <color theme="1"/>
      <name val="TH Sarabun PSK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14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10" borderId="14" applyNumberFormat="0" applyAlignment="0" applyProtection="0">
      <alignment vertical="center"/>
    </xf>
    <xf numFmtId="0" fontId="22" fillId="11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6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6" applyFont="1" applyBorder="1" applyAlignment="1">
      <alignment horizontal="center" vertical="center" wrapText="1"/>
    </xf>
    <xf numFmtId="0" fontId="4" fillId="0" borderId="1" xfId="6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6" applyFont="1" applyAlignment="1">
      <alignment horizontal="left" vertical="center"/>
    </xf>
    <xf numFmtId="0" fontId="7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1" xfId="6" applyFont="1" applyBorder="1">
      <alignment vertical="center"/>
    </xf>
    <xf numFmtId="0" fontId="9" fillId="0" borderId="1" xfId="0" applyFont="1" applyFill="1" applyBorder="1">
      <alignment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58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3" xfId="0" applyBorder="1">
      <alignment vertical="center"/>
    </xf>
    <xf numFmtId="0" fontId="0" fillId="6" borderId="0" xfId="0" applyFill="1">
      <alignment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0" xfId="0" applyFont="1" applyFill="1">
      <alignment vertical="center"/>
    </xf>
    <xf numFmtId="0" fontId="11" fillId="6" borderId="6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2" fillId="6" borderId="8" xfId="0" applyFont="1" applyFill="1" applyBorder="1">
      <alignment vertical="center"/>
    </xf>
    <xf numFmtId="0" fontId="13" fillId="6" borderId="1" xfId="0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 wrapText="1"/>
    </xf>
    <xf numFmtId="0" fontId="13" fillId="6" borderId="8" xfId="0" applyFont="1" applyFill="1" applyBorder="1">
      <alignment vertical="center"/>
    </xf>
    <xf numFmtId="0" fontId="13" fillId="6" borderId="1" xfId="0" applyFont="1" applyFill="1" applyBorder="1">
      <alignment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" fillId="6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58" fontId="1" fillId="7" borderId="1" xfId="0" applyNumberFormat="1" applyFont="1" applyFill="1" applyBorder="1">
      <alignment vertical="center"/>
    </xf>
    <xf numFmtId="0" fontId="0" fillId="0" borderId="1" xfId="0" applyBorder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6.png"/><Relationship Id="rId3" Type="http://schemas.openxmlformats.org/officeDocument/2006/relationships/image" Target="media/image5.png"/><Relationship Id="rId2" Type="http://schemas.openxmlformats.org/officeDocument/2006/relationships/image" Target="media/image4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www.wps.cn/officeDocument/2020/cellImage" Target="cellimag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13335</xdr:colOff>
      <xdr:row>9</xdr:row>
      <xdr:rowOff>137160</xdr:rowOff>
    </xdr:from>
    <xdr:to>
      <xdr:col>8</xdr:col>
      <xdr:colOff>1419860</xdr:colOff>
      <xdr:row>9</xdr:row>
      <xdr:rowOff>904875</xdr:rowOff>
    </xdr:to>
    <xdr:grpSp>
      <xdr:nvGrpSpPr>
        <xdr:cNvPr id="8" name="Group 7"/>
        <xdr:cNvGrpSpPr/>
      </xdr:nvGrpSpPr>
      <xdr:grpSpPr>
        <a:xfrm>
          <a:off x="13719810" y="4758690"/>
          <a:ext cx="1406525" cy="767715"/>
          <a:chOff x="21546" y="7281"/>
          <a:chExt cx="2394" cy="1209"/>
        </a:xfrm>
      </xdr:grpSpPr>
      <xdr:pic>
        <xdr:nvPicPr>
          <xdr:cNvPr id="6" name="ID_75A03CC746474162A8EAFD131DE029C5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21600" y="7281"/>
            <a:ext cx="2340" cy="662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" name="ID_35893D21B3FD4ACCB33370A61E2CAB8C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21546" y="8100"/>
            <a:ext cx="2328" cy="39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Thai Theme">
  <a:themeElements>
    <a:clrScheme name="Tha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hai">
      <a:majorFont>
        <a:latin typeface="TH Sarabun PSK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H Sarabun PSK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H Sarabun PSK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H Sarabun PSK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hai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folders/1nBs25k9jTb06qrV-5fTC75gtPOR6uW4V" TargetMode="External"/><Relationship Id="rId1" Type="http://schemas.openxmlformats.org/officeDocument/2006/relationships/hyperlink" Target="https://demo.opencart.com/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hyperlink" Target="mailto:mike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B3:D10"/>
  <sheetViews>
    <sheetView workbookViewId="0">
      <selection activeCell="C4" sqref="C4"/>
    </sheetView>
  </sheetViews>
  <sheetFormatPr defaultColWidth="9" defaultRowHeight="14.25" outlineLevelCol="3"/>
  <cols>
    <col min="2" max="2" width="13.5" customWidth="1"/>
    <col min="3" max="3" width="50.875" customWidth="1"/>
    <col min="4" max="4" width="9.375"/>
  </cols>
  <sheetData>
    <row r="3" ht="15" spans="2:4">
      <c r="B3" s="76" t="s">
        <v>0</v>
      </c>
      <c r="C3" s="76" t="s">
        <v>1</v>
      </c>
      <c r="D3" s="77" t="s">
        <v>2</v>
      </c>
    </row>
    <row r="4" ht="15" spans="2:4">
      <c r="B4" s="76">
        <v>1</v>
      </c>
      <c r="C4" s="76" t="s">
        <v>3</v>
      </c>
      <c r="D4" s="78">
        <v>46118</v>
      </c>
    </row>
    <row r="5" ht="15" spans="2:4">
      <c r="B5" s="76">
        <v>2</v>
      </c>
      <c r="C5" s="76" t="s">
        <v>4</v>
      </c>
      <c r="D5" s="78">
        <v>46127</v>
      </c>
    </row>
    <row r="6" ht="15" spans="2:4">
      <c r="B6" s="76"/>
      <c r="C6" s="76"/>
      <c r="D6" s="77"/>
    </row>
    <row r="7" ht="15" spans="2:4">
      <c r="B7" s="76"/>
      <c r="C7" s="76"/>
      <c r="D7" s="77"/>
    </row>
    <row r="8" ht="15" spans="2:4">
      <c r="B8" s="76"/>
      <c r="C8" s="76"/>
      <c r="D8" s="77"/>
    </row>
    <row r="9" ht="15" spans="2:4">
      <c r="B9" s="76"/>
      <c r="C9" s="76"/>
      <c r="D9" s="77"/>
    </row>
    <row r="10" ht="15" spans="2:4">
      <c r="B10" s="76"/>
      <c r="C10" s="76"/>
      <c r="D10" s="7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Q34"/>
  <sheetViews>
    <sheetView workbookViewId="0">
      <selection activeCell="M8" sqref="M8"/>
    </sheetView>
  </sheetViews>
  <sheetFormatPr defaultColWidth="9" defaultRowHeight="14.25"/>
  <cols>
    <col min="13" max="13" width="32.75" customWidth="1"/>
    <col min="14" max="14" width="49.375" customWidth="1"/>
  </cols>
  <sheetData>
    <row r="4" spans="2:17">
      <c r="B4" s="62"/>
      <c r="C4" s="62"/>
      <c r="D4" s="62"/>
      <c r="E4" s="62"/>
      <c r="F4" s="62"/>
      <c r="G4" s="62"/>
      <c r="H4" s="62"/>
      <c r="I4" s="62"/>
      <c r="J4" s="62"/>
      <c r="K4" s="63" t="s">
        <v>5</v>
      </c>
      <c r="L4" s="64"/>
      <c r="M4" s="62"/>
      <c r="N4" s="62"/>
      <c r="O4" s="62"/>
      <c r="P4" s="62"/>
      <c r="Q4" s="62"/>
    </row>
    <row r="5" ht="20.25" spans="2:17">
      <c r="B5" s="65"/>
      <c r="C5" s="65"/>
      <c r="D5" s="65"/>
      <c r="E5" s="65"/>
      <c r="F5" s="65"/>
      <c r="G5" s="65"/>
      <c r="H5" s="65"/>
      <c r="I5" s="65"/>
      <c r="J5" s="65"/>
      <c r="K5" s="66"/>
      <c r="L5" s="67"/>
      <c r="M5" s="68" t="s">
        <v>6</v>
      </c>
      <c r="N5" s="69" t="s">
        <v>7</v>
      </c>
      <c r="O5" s="70"/>
      <c r="P5" s="70"/>
      <c r="Q5" s="70"/>
    </row>
    <row r="6" ht="20.25" spans="2:17">
      <c r="B6" s="65"/>
      <c r="C6" s="65"/>
      <c r="D6" s="65"/>
      <c r="E6" s="65"/>
      <c r="F6" s="65"/>
      <c r="G6" s="65"/>
      <c r="H6" s="65"/>
      <c r="I6" s="65"/>
      <c r="J6" s="65"/>
      <c r="K6" s="66"/>
      <c r="L6" s="67"/>
      <c r="M6" s="68" t="s">
        <v>8</v>
      </c>
      <c r="N6" s="69"/>
      <c r="O6" s="70"/>
      <c r="P6" s="70"/>
      <c r="Q6" s="70"/>
    </row>
    <row r="7" ht="20.25" spans="2:17">
      <c r="B7" s="65"/>
      <c r="C7" s="65"/>
      <c r="D7" s="65"/>
      <c r="E7" s="65"/>
      <c r="F7" s="65"/>
      <c r="G7" s="65"/>
      <c r="H7" s="65"/>
      <c r="I7" s="65"/>
      <c r="J7" s="65"/>
      <c r="K7" s="66"/>
      <c r="L7" s="67"/>
      <c r="M7" s="71" t="s">
        <v>9</v>
      </c>
      <c r="N7" s="69"/>
      <c r="O7" s="70"/>
      <c r="P7" s="70"/>
      <c r="Q7" s="70"/>
    </row>
    <row r="8" ht="20.25" spans="2:17">
      <c r="B8" s="65"/>
      <c r="C8" s="65"/>
      <c r="D8" s="65"/>
      <c r="E8" s="65"/>
      <c r="F8" s="65"/>
      <c r="G8" s="65"/>
      <c r="H8" s="65"/>
      <c r="I8" s="65"/>
      <c r="J8" s="65"/>
      <c r="K8" s="66"/>
      <c r="L8" s="67"/>
      <c r="M8" s="71" t="s">
        <v>10</v>
      </c>
      <c r="N8" s="69"/>
      <c r="O8" s="70"/>
      <c r="P8" s="70"/>
      <c r="Q8" s="70"/>
    </row>
    <row r="9" ht="20.25" spans="2:17">
      <c r="B9" s="65"/>
      <c r="C9" s="65"/>
      <c r="D9" s="65"/>
      <c r="E9" s="65"/>
      <c r="F9" s="65"/>
      <c r="G9" s="65"/>
      <c r="H9" s="65"/>
      <c r="I9" s="65"/>
      <c r="J9" s="65"/>
      <c r="K9" s="66"/>
      <c r="L9" s="67"/>
      <c r="M9" s="68" t="s">
        <v>11</v>
      </c>
      <c r="N9" s="69"/>
      <c r="O9" s="70"/>
      <c r="P9" s="70"/>
      <c r="Q9" s="70"/>
    </row>
    <row r="10" ht="20.25" spans="2:17"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67"/>
      <c r="M10" s="68" t="s">
        <v>12</v>
      </c>
      <c r="N10" s="72" t="s">
        <v>13</v>
      </c>
      <c r="O10" s="65"/>
      <c r="P10" s="65"/>
      <c r="Q10" s="65"/>
    </row>
    <row r="11" ht="20.25" spans="2:17">
      <c r="B11" s="65"/>
      <c r="C11" s="65"/>
      <c r="D11" s="65"/>
      <c r="E11" s="65"/>
      <c r="F11" s="65"/>
      <c r="G11" s="65"/>
      <c r="H11" s="65"/>
      <c r="I11" s="65"/>
      <c r="J11" s="65"/>
      <c r="K11" s="66"/>
      <c r="L11" s="67"/>
      <c r="M11" s="71" t="s">
        <v>14</v>
      </c>
      <c r="N11" s="72"/>
      <c r="O11" s="65"/>
      <c r="P11" s="65"/>
      <c r="Q11" s="65"/>
    </row>
    <row r="12" ht="20.25" spans="2:17">
      <c r="B12" s="65"/>
      <c r="C12" s="65"/>
      <c r="D12" s="65"/>
      <c r="E12" s="65"/>
      <c r="F12" s="65"/>
      <c r="G12" s="65"/>
      <c r="H12" s="65"/>
      <c r="I12" s="65"/>
      <c r="J12" s="65"/>
      <c r="K12" s="66"/>
      <c r="L12" s="67"/>
      <c r="M12" s="71" t="s">
        <v>15</v>
      </c>
      <c r="N12" s="72"/>
      <c r="O12" s="65"/>
      <c r="P12" s="65"/>
      <c r="Q12" s="65"/>
    </row>
    <row r="13" ht="20.25" spans="2:17"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67"/>
      <c r="M13" s="71"/>
      <c r="N13" s="72"/>
      <c r="O13" s="65"/>
      <c r="P13" s="65"/>
      <c r="Q13" s="65"/>
    </row>
    <row r="14" ht="20.25" spans="2:17">
      <c r="B14" s="65"/>
      <c r="C14" s="65"/>
      <c r="D14" s="65"/>
      <c r="E14" s="65"/>
      <c r="F14" s="65"/>
      <c r="G14" s="65"/>
      <c r="H14" s="65"/>
      <c r="I14" s="65"/>
      <c r="J14" s="65"/>
      <c r="K14" s="66"/>
      <c r="L14" s="67"/>
      <c r="M14" s="71"/>
      <c r="N14" s="72"/>
      <c r="O14" s="65"/>
      <c r="P14" s="65"/>
      <c r="Q14" s="65"/>
    </row>
    <row r="15" ht="20.25" spans="2:17">
      <c r="B15" s="65"/>
      <c r="C15" s="65"/>
      <c r="D15" s="65"/>
      <c r="E15" s="65"/>
      <c r="F15" s="65"/>
      <c r="G15" s="65"/>
      <c r="H15" s="65"/>
      <c r="I15" s="65"/>
      <c r="J15" s="65"/>
      <c r="K15" s="73"/>
      <c r="L15" s="74"/>
      <c r="M15" s="71"/>
      <c r="N15" s="72"/>
      <c r="O15" s="65"/>
      <c r="P15" s="65"/>
      <c r="Q15" s="65"/>
    </row>
    <row r="16" ht="20.25" spans="2:17">
      <c r="B16" s="65"/>
      <c r="C16" s="65"/>
      <c r="D16" s="65"/>
      <c r="E16" s="65"/>
      <c r="F16" s="65"/>
      <c r="G16" s="65"/>
      <c r="H16" s="65"/>
      <c r="I16" s="65"/>
      <c r="J16" s="65"/>
      <c r="K16" s="75" t="s">
        <v>16</v>
      </c>
      <c r="L16" s="75"/>
      <c r="M16" s="72"/>
      <c r="N16" s="72" t="s">
        <v>17</v>
      </c>
      <c r="O16" s="65"/>
      <c r="P16" s="65"/>
      <c r="Q16" s="65"/>
    </row>
    <row r="17" ht="20.25" spans="2:17">
      <c r="B17" s="65"/>
      <c r="C17" s="65"/>
      <c r="D17" s="65"/>
      <c r="E17" s="65"/>
      <c r="F17" s="65"/>
      <c r="G17" s="65"/>
      <c r="H17" s="65"/>
      <c r="I17" s="65"/>
      <c r="J17" s="65"/>
      <c r="K17" s="75"/>
      <c r="L17" s="75"/>
      <c r="M17" s="72"/>
      <c r="N17" s="72" t="s">
        <v>18</v>
      </c>
      <c r="O17" s="65"/>
      <c r="P17" s="65"/>
      <c r="Q17" s="65"/>
    </row>
    <row r="18" ht="20.25" spans="2:17"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</row>
    <row r="19" ht="20.25" spans="2:17"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</row>
    <row r="20" ht="20.25" spans="2:17"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</row>
    <row r="21" ht="20.25" spans="2:17"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</row>
    <row r="22" ht="20.25" spans="2:17"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</row>
    <row r="23" ht="20.25" spans="2:17"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</row>
    <row r="24" ht="20.25" spans="2:17"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</row>
    <row r="25" ht="20.25" spans="2:17"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</row>
    <row r="26" ht="20.25" spans="2:17"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</row>
    <row r="27" ht="20.25" spans="2:17"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</row>
    <row r="28" ht="20.25" spans="2:17"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</row>
    <row r="29" ht="20.25" spans="2:17"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</row>
    <row r="30" ht="20.25" spans="2:17"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</row>
    <row r="31" ht="20.25" spans="2:17"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</row>
    <row r="32" ht="20.25" spans="2:17"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</row>
    <row r="33" ht="20.25" spans="2:17"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</row>
    <row r="34" ht="20.25" spans="2:17"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</row>
  </sheetData>
  <mergeCells count="3">
    <mergeCell ref="N5:N9"/>
    <mergeCell ref="K16:L17"/>
    <mergeCell ref="K4:L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8"/>
  </sheetPr>
  <dimension ref="A4:J11"/>
  <sheetViews>
    <sheetView workbookViewId="0">
      <selection activeCell="G12" sqref="G12"/>
    </sheetView>
  </sheetViews>
  <sheetFormatPr defaultColWidth="9" defaultRowHeight="14.25"/>
  <cols>
    <col min="2" max="3" width="22.125" customWidth="1"/>
    <col min="4" max="4" width="27.5" customWidth="1"/>
    <col min="5" max="5" width="23.75" customWidth="1"/>
    <col min="6" max="6" width="49" customWidth="1"/>
    <col min="7" max="7" width="12.5"/>
    <col min="8" max="8" width="13.875" customWidth="1"/>
    <col min="9" max="9" width="19.875" customWidth="1"/>
    <col min="10" max="10" width="18.5" customWidth="1"/>
  </cols>
  <sheetData>
    <row r="4" ht="15" spans="1:10">
      <c r="A4" s="55" t="s">
        <v>19</v>
      </c>
      <c r="B4" s="56" t="s">
        <v>20</v>
      </c>
      <c r="C4" s="56" t="s">
        <v>21</v>
      </c>
      <c r="D4" s="56" t="s">
        <v>22</v>
      </c>
      <c r="E4" s="56" t="s">
        <v>23</v>
      </c>
      <c r="F4" s="56" t="s">
        <v>24</v>
      </c>
      <c r="G4" s="56" t="s">
        <v>25</v>
      </c>
      <c r="H4" s="55" t="s">
        <v>26</v>
      </c>
      <c r="I4" s="56" t="s">
        <v>27</v>
      </c>
      <c r="J4" s="56" t="s">
        <v>28</v>
      </c>
    </row>
    <row r="5" ht="49.65" spans="1:10">
      <c r="A5" s="6" t="s">
        <v>29</v>
      </c>
      <c r="B5" s="57">
        <f>DATE(2026,4,20)</f>
        <v>46132</v>
      </c>
      <c r="C5" s="6" t="s">
        <v>30</v>
      </c>
      <c r="D5" s="6" t="s">
        <v>31</v>
      </c>
      <c r="E5" s="6" t="s">
        <v>32</v>
      </c>
      <c r="F5" s="6" t="s">
        <v>33</v>
      </c>
      <c r="G5" s="6" t="s">
        <v>34</v>
      </c>
      <c r="H5" s="6" t="s">
        <v>35</v>
      </c>
      <c r="I5" s="58" t="str">
        <f>_xlfn.DISPIMG("ID_DCD6BF44FE934B62BEF4AF54A6DF501A",1)</f>
        <v>=DISPIMG("ID_DCD6BF44FE934B62BEF4AF54A6DF501A",1)</v>
      </c>
      <c r="J5" s="6" t="s">
        <v>36</v>
      </c>
    </row>
    <row r="6" ht="85.5" spans="1:10">
      <c r="A6" s="6" t="s">
        <v>37</v>
      </c>
      <c r="B6" s="57">
        <f>DATE(2026,4,20)</f>
        <v>46132</v>
      </c>
      <c r="C6" s="6" t="s">
        <v>38</v>
      </c>
      <c r="D6" s="8" t="s">
        <v>39</v>
      </c>
      <c r="E6" s="6" t="s">
        <v>40</v>
      </c>
      <c r="F6" s="6" t="s">
        <v>41</v>
      </c>
      <c r="G6" s="6" t="s">
        <v>42</v>
      </c>
      <c r="H6" s="6" t="s">
        <v>35</v>
      </c>
      <c r="I6" t="str">
        <f>_xlfn.DISPIMG("ID_BA59952DF61247A7B7CF088F37895BD1",1)</f>
        <v>=DISPIMG("ID_BA59952DF61247A7B7CF088F37895BD1",1)</v>
      </c>
      <c r="J6" s="6" t="s">
        <v>43</v>
      </c>
    </row>
    <row r="7" ht="42.75" spans="1:10">
      <c r="A7" s="6" t="s">
        <v>44</v>
      </c>
      <c r="B7" s="57">
        <v>46132</v>
      </c>
      <c r="C7" s="6" t="s">
        <v>45</v>
      </c>
      <c r="D7" s="8" t="s">
        <v>46</v>
      </c>
      <c r="E7" s="8" t="s">
        <v>47</v>
      </c>
      <c r="F7" s="8" t="s">
        <v>48</v>
      </c>
      <c r="G7" s="6" t="s">
        <v>42</v>
      </c>
      <c r="H7" s="6" t="s">
        <v>42</v>
      </c>
      <c r="I7" s="58"/>
      <c r="J7" s="6" t="s">
        <v>49</v>
      </c>
    </row>
    <row r="8" ht="71.25" spans="1:10">
      <c r="A8" s="6" t="s">
        <v>50</v>
      </c>
      <c r="B8" s="57">
        <v>46135</v>
      </c>
      <c r="C8" s="6" t="s">
        <v>51</v>
      </c>
      <c r="D8" s="8" t="s">
        <v>52</v>
      </c>
      <c r="E8" s="8" t="s">
        <v>53</v>
      </c>
      <c r="F8" s="8" t="s">
        <v>54</v>
      </c>
      <c r="G8" s="6" t="s">
        <v>34</v>
      </c>
      <c r="H8" s="6" t="s">
        <v>35</v>
      </c>
      <c r="I8" t="str">
        <f>_xlfn.DISPIMG("ID_5AE021B245F644E3960B009A03D090E8",1)</f>
        <v>=DISPIMG("ID_5AE021B245F644E3960B009A03D090E8",1)</v>
      </c>
      <c r="J8" s="6" t="s">
        <v>49</v>
      </c>
    </row>
    <row r="9" ht="57" spans="1:10">
      <c r="A9" t="s">
        <v>55</v>
      </c>
      <c r="B9" s="59">
        <v>46135</v>
      </c>
      <c r="C9" s="2" t="s">
        <v>56</v>
      </c>
      <c r="D9" s="60" t="s">
        <v>57</v>
      </c>
      <c r="E9" s="60" t="s">
        <v>53</v>
      </c>
      <c r="F9" s="61" t="s">
        <v>58</v>
      </c>
      <c r="G9" s="61" t="s">
        <v>59</v>
      </c>
      <c r="H9" s="6" t="s">
        <v>35</v>
      </c>
      <c r="I9" t="str">
        <f>_xlfn.DISPIMG("ID_D5E4F8FF524944B6A0BD069F07AF88C0",1)</f>
        <v>=DISPIMG("ID_D5E4F8FF524944B6A0BD069F07AF88C0",1)</v>
      </c>
      <c r="J9" s="61" t="s">
        <v>49</v>
      </c>
    </row>
    <row r="10" ht="85.5" customHeight="1" spans="1:10">
      <c r="A10" s="6" t="s">
        <v>60</v>
      </c>
      <c r="B10" s="57">
        <v>46135</v>
      </c>
      <c r="C10" s="8" t="s">
        <v>61</v>
      </c>
      <c r="D10" s="8" t="s">
        <v>62</v>
      </c>
      <c r="E10" s="8" t="s">
        <v>63</v>
      </c>
      <c r="F10" s="8" t="s">
        <v>64</v>
      </c>
      <c r="G10" s="6"/>
      <c r="H10" s="6"/>
      <c r="I10" s="6"/>
      <c r="J10" s="6"/>
    </row>
    <row r="11" ht="21.8" customHeight="1"/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H38"/>
  <sheetViews>
    <sheetView workbookViewId="0">
      <selection activeCell="M25" sqref="M25"/>
    </sheetView>
  </sheetViews>
  <sheetFormatPr defaultColWidth="9" defaultRowHeight="14.25" outlineLevelCol="7"/>
  <cols>
    <col min="1" max="1" width="15.625" customWidth="1"/>
    <col min="2" max="2" width="23.875" customWidth="1"/>
    <col min="3" max="3" width="21.5" customWidth="1"/>
    <col min="4" max="4" width="16" customWidth="1"/>
    <col min="6" max="6" width="12.75" customWidth="1"/>
    <col min="7" max="7" width="16.25" customWidth="1"/>
    <col min="8" max="8" width="19" customWidth="1"/>
  </cols>
  <sheetData>
    <row r="1" spans="1:8">
      <c r="A1" s="53" t="s">
        <v>65</v>
      </c>
      <c r="B1" s="54"/>
      <c r="C1" s="54"/>
      <c r="D1" s="54"/>
      <c r="E1" s="54"/>
      <c r="F1" s="54"/>
    </row>
    <row r="2" spans="1:8">
      <c r="A2" s="54"/>
      <c r="B2" s="54"/>
      <c r="C2" s="54"/>
      <c r="D2" s="54"/>
      <c r="E2" s="54"/>
      <c r="F2" s="54"/>
    </row>
    <row r="3" spans="1:8">
      <c r="A3" s="54"/>
      <c r="B3" s="54"/>
      <c r="C3" s="54"/>
      <c r="D3" s="54"/>
      <c r="E3" s="54"/>
      <c r="F3" s="54"/>
    </row>
    <row r="4" spans="1:8">
      <c r="A4" s="54"/>
      <c r="B4" s="54"/>
      <c r="C4" s="54"/>
      <c r="D4" s="54"/>
      <c r="E4" s="54"/>
      <c r="F4" s="54"/>
    </row>
    <row r="6" spans="1:8">
      <c r="A6" s="46" t="s">
        <v>66</v>
      </c>
      <c r="B6" s="46" t="s">
        <v>67</v>
      </c>
      <c r="C6" s="46" t="s">
        <v>68</v>
      </c>
      <c r="D6" s="46" t="s">
        <v>69</v>
      </c>
      <c r="E6" s="46" t="s">
        <v>70</v>
      </c>
      <c r="F6" s="46" t="s">
        <v>71</v>
      </c>
      <c r="G6" s="46" t="s">
        <v>72</v>
      </c>
      <c r="H6" s="46" t="s">
        <v>73</v>
      </c>
    </row>
    <row r="7" spans="1:8">
      <c r="A7" s="32"/>
      <c r="B7" s="32"/>
      <c r="C7" s="32"/>
      <c r="D7" s="32"/>
      <c r="E7" s="32"/>
      <c r="F7" s="32"/>
      <c r="G7" s="32"/>
      <c r="H7" s="32"/>
    </row>
    <row r="8" spans="1:8">
      <c r="A8" s="32"/>
      <c r="B8" s="32"/>
      <c r="C8" s="32"/>
      <c r="D8" s="32"/>
      <c r="E8" s="32"/>
      <c r="F8" s="32"/>
      <c r="G8" s="32"/>
      <c r="H8" s="32"/>
    </row>
    <row r="9" spans="1:8">
      <c r="A9" s="32"/>
      <c r="B9" s="32"/>
      <c r="C9" s="32"/>
      <c r="D9" s="32"/>
      <c r="E9" s="32"/>
      <c r="F9" s="32"/>
      <c r="G9" s="32"/>
      <c r="H9" s="32"/>
    </row>
    <row r="10" spans="1:8">
      <c r="A10" s="32"/>
      <c r="B10" s="32"/>
      <c r="C10" s="32"/>
      <c r="D10" s="32"/>
      <c r="E10" s="32"/>
      <c r="F10" s="32"/>
      <c r="G10" s="32"/>
      <c r="H10" s="32"/>
    </row>
    <row r="11" spans="1:8">
      <c r="A11" s="32"/>
      <c r="B11" s="32"/>
      <c r="C11" s="32"/>
      <c r="D11" s="32"/>
      <c r="E11" s="32"/>
      <c r="F11" s="32"/>
      <c r="G11" s="32"/>
      <c r="H11" s="32"/>
    </row>
    <row r="12" spans="1:8">
      <c r="A12" s="32"/>
      <c r="B12" s="32"/>
      <c r="C12" s="32"/>
      <c r="D12" s="32"/>
      <c r="E12" s="32"/>
      <c r="F12" s="32"/>
      <c r="G12" s="32"/>
      <c r="H12" s="32"/>
    </row>
    <row r="13" spans="1:8">
      <c r="A13" s="32"/>
      <c r="B13" s="32"/>
      <c r="C13" s="32"/>
      <c r="D13" s="32"/>
      <c r="E13" s="32"/>
      <c r="F13" s="32"/>
      <c r="G13" s="32"/>
      <c r="H13" s="32"/>
    </row>
    <row r="14" spans="1:8">
      <c r="A14" s="32"/>
      <c r="B14" s="32"/>
      <c r="C14" s="32"/>
      <c r="D14" s="32"/>
      <c r="E14" s="32"/>
      <c r="F14" s="32"/>
      <c r="G14" s="32"/>
      <c r="H14" s="32"/>
    </row>
    <row r="15" spans="1:8">
      <c r="A15" s="32"/>
      <c r="B15" s="32"/>
      <c r="C15" s="32"/>
      <c r="D15" s="32"/>
      <c r="E15" s="32"/>
      <c r="F15" s="32"/>
      <c r="G15" s="32"/>
      <c r="H15" s="32"/>
    </row>
    <row r="16" spans="1:8">
      <c r="A16" s="32"/>
      <c r="B16" s="32"/>
      <c r="C16" s="32"/>
      <c r="D16" s="32"/>
      <c r="E16" s="32"/>
      <c r="F16" s="32"/>
      <c r="G16" s="32"/>
      <c r="H16" s="32"/>
    </row>
    <row r="17" spans="1:8">
      <c r="A17" s="32"/>
      <c r="B17" s="32"/>
      <c r="C17" s="32"/>
      <c r="D17" s="32"/>
      <c r="E17" s="32"/>
      <c r="F17" s="32"/>
      <c r="G17" s="32"/>
      <c r="H17" s="32"/>
    </row>
    <row r="18" spans="1:8">
      <c r="A18" s="32"/>
      <c r="B18" s="32"/>
      <c r="C18" s="32"/>
      <c r="D18" s="32"/>
      <c r="E18" s="32"/>
      <c r="F18" s="32"/>
      <c r="G18" s="32"/>
      <c r="H18" s="32"/>
    </row>
    <row r="19" spans="1:8">
      <c r="A19" s="32"/>
      <c r="B19" s="32"/>
      <c r="C19" s="32"/>
      <c r="D19" s="32"/>
      <c r="E19" s="32"/>
      <c r="F19" s="32"/>
      <c r="G19" s="32"/>
      <c r="H19" s="32"/>
    </row>
    <row r="20" spans="1:8">
      <c r="A20" s="32"/>
      <c r="B20" s="32"/>
      <c r="C20" s="32"/>
      <c r="D20" s="32"/>
      <c r="E20" s="32"/>
      <c r="F20" s="32"/>
      <c r="G20" s="32"/>
      <c r="H20" s="32"/>
    </row>
    <row r="21" spans="1:8">
      <c r="A21" s="32"/>
      <c r="B21" s="32"/>
      <c r="C21" s="32"/>
      <c r="D21" s="32"/>
      <c r="E21" s="32"/>
      <c r="F21" s="32"/>
      <c r="G21" s="32"/>
      <c r="H21" s="32"/>
    </row>
    <row r="22" spans="1:8">
      <c r="A22" s="32"/>
      <c r="B22" s="32"/>
      <c r="C22" s="32"/>
      <c r="D22" s="32"/>
      <c r="E22" s="32"/>
      <c r="F22" s="32"/>
      <c r="G22" s="32"/>
      <c r="H22" s="32"/>
    </row>
    <row r="23" spans="1:8">
      <c r="A23" s="32"/>
      <c r="B23" s="32"/>
      <c r="C23" s="32"/>
      <c r="D23" s="32"/>
      <c r="E23" s="32"/>
      <c r="F23" s="32"/>
      <c r="G23" s="32"/>
      <c r="H23" s="32"/>
    </row>
    <row r="24" spans="1:8">
      <c r="A24" s="32"/>
      <c r="B24" s="32"/>
      <c r="C24" s="32"/>
      <c r="D24" s="32"/>
      <c r="E24" s="32"/>
      <c r="F24" s="32"/>
      <c r="G24" s="32"/>
      <c r="H24" s="32"/>
    </row>
    <row r="25" spans="1:8">
      <c r="A25" s="32"/>
      <c r="B25" s="32"/>
      <c r="C25" s="32"/>
      <c r="D25" s="32"/>
      <c r="E25" s="32"/>
      <c r="F25" s="32"/>
      <c r="G25" s="32"/>
      <c r="H25" s="32"/>
    </row>
    <row r="26" spans="1:8">
      <c r="A26" s="32"/>
      <c r="B26" s="32"/>
      <c r="C26" s="32"/>
      <c r="D26" s="32"/>
      <c r="E26" s="32"/>
      <c r="F26" s="32"/>
      <c r="G26" s="32"/>
      <c r="H26" s="32"/>
    </row>
    <row r="27" spans="1:8">
      <c r="A27" s="32"/>
      <c r="B27" s="32"/>
      <c r="C27" s="32"/>
      <c r="D27" s="32"/>
      <c r="E27" s="32"/>
      <c r="F27" s="32"/>
      <c r="G27" s="32"/>
      <c r="H27" s="32"/>
    </row>
    <row r="28" spans="1:8">
      <c r="A28" s="32"/>
      <c r="B28" s="32"/>
      <c r="C28" s="32"/>
      <c r="D28" s="32"/>
      <c r="E28" s="32"/>
      <c r="F28" s="32"/>
      <c r="G28" s="32"/>
      <c r="H28" s="32"/>
    </row>
    <row r="29" spans="1:8">
      <c r="A29" s="32"/>
      <c r="B29" s="32"/>
      <c r="C29" s="32"/>
      <c r="D29" s="32"/>
      <c r="E29" s="32"/>
      <c r="F29" s="32"/>
      <c r="G29" s="32"/>
      <c r="H29" s="32"/>
    </row>
    <row r="30" spans="1:8">
      <c r="A30" s="32"/>
      <c r="B30" s="32"/>
      <c r="C30" s="32"/>
      <c r="D30" s="32"/>
      <c r="E30" s="32"/>
      <c r="F30" s="32"/>
      <c r="G30" s="32"/>
      <c r="H30" s="32"/>
    </row>
    <row r="31" spans="1:8">
      <c r="A31" s="32"/>
      <c r="B31" s="32"/>
      <c r="C31" s="32"/>
      <c r="D31" s="32"/>
      <c r="E31" s="32"/>
      <c r="F31" s="32"/>
      <c r="G31" s="32"/>
      <c r="H31" s="32"/>
    </row>
    <row r="32" spans="1:8">
      <c r="A32" s="32"/>
      <c r="B32" s="32"/>
      <c r="C32" s="32"/>
      <c r="D32" s="32"/>
      <c r="E32" s="32"/>
      <c r="F32" s="32"/>
      <c r="G32" s="32"/>
      <c r="H32" s="32"/>
    </row>
    <row r="33" spans="1:8">
      <c r="A33" s="32"/>
      <c r="B33" s="32"/>
      <c r="C33" s="32"/>
      <c r="D33" s="32"/>
      <c r="E33" s="32"/>
      <c r="F33" s="32"/>
      <c r="G33" s="32"/>
      <c r="H33" s="32"/>
    </row>
    <row r="34" spans="1:8">
      <c r="A34" s="32"/>
      <c r="B34" s="32"/>
      <c r="C34" s="32"/>
      <c r="D34" s="32"/>
      <c r="E34" s="32"/>
      <c r="F34" s="32"/>
      <c r="G34" s="32"/>
      <c r="H34" s="32"/>
    </row>
    <row r="35" spans="1:8">
      <c r="A35" s="32"/>
      <c r="B35" s="32"/>
      <c r="C35" s="32"/>
      <c r="D35" s="32"/>
      <c r="E35" s="32"/>
      <c r="F35" s="32"/>
      <c r="G35" s="32"/>
      <c r="H35" s="32"/>
    </row>
    <row r="36" spans="1:8">
      <c r="A36" s="32"/>
      <c r="B36" s="32"/>
      <c r="C36" s="32"/>
      <c r="D36" s="32"/>
      <c r="E36" s="32"/>
      <c r="F36" s="32"/>
      <c r="G36" s="32"/>
      <c r="H36" s="32"/>
    </row>
    <row r="37" spans="1:8">
      <c r="A37" s="32"/>
      <c r="B37" s="32"/>
      <c r="C37" s="32"/>
      <c r="D37" s="32"/>
      <c r="E37" s="32"/>
      <c r="F37" s="32"/>
      <c r="G37" s="32"/>
      <c r="H37" s="32"/>
    </row>
    <row r="38" spans="1:8">
      <c r="A38" s="32"/>
      <c r="B38" s="32"/>
      <c r="C38" s="32"/>
      <c r="D38" s="32"/>
      <c r="E38" s="32"/>
      <c r="F38" s="32"/>
      <c r="G38" s="32"/>
      <c r="H38" s="32"/>
    </row>
  </sheetData>
  <mergeCells count="1">
    <mergeCell ref="A1:F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43"/>
  <sheetViews>
    <sheetView topLeftCell="A9" workbookViewId="0">
      <selection activeCell="C26" sqref="C26"/>
    </sheetView>
  </sheetViews>
  <sheetFormatPr defaultColWidth="9" defaultRowHeight="14.25"/>
  <cols>
    <col min="1" max="1" width="18.5" customWidth="1"/>
    <col min="2" max="2" width="9.875" customWidth="1"/>
    <col min="3" max="3" width="69.75" customWidth="1"/>
    <col min="4" max="4" width="14" customWidth="1"/>
    <col min="5" max="5" width="21" style="12" customWidth="1"/>
    <col min="6" max="6" width="10" style="12" customWidth="1"/>
    <col min="7" max="7" width="52" customWidth="1"/>
    <col min="9" max="9" width="69.75" customWidth="1"/>
  </cols>
  <sheetData>
    <row r="1" spans="1:10">
      <c r="A1" t="s">
        <v>74</v>
      </c>
    </row>
    <row r="2" ht="18" spans="1:10">
      <c r="A2" t="s">
        <v>75</v>
      </c>
      <c r="B2" s="44" t="s">
        <v>76</v>
      </c>
      <c r="C2" s="3"/>
      <c r="D2" s="3"/>
      <c r="G2" s="3"/>
      <c r="I2" s="45"/>
      <c r="J2" s="45"/>
    </row>
    <row r="3" ht="18" spans="1:10">
      <c r="A3" t="s">
        <v>77</v>
      </c>
      <c r="B3" s="44" t="s">
        <v>78</v>
      </c>
      <c r="C3" s="3"/>
      <c r="D3" s="3"/>
      <c r="G3" s="3"/>
    </row>
    <row r="4" spans="1:10">
      <c r="B4" t="s">
        <v>79</v>
      </c>
      <c r="E4"/>
    </row>
    <row r="5" spans="1:10">
      <c r="E5"/>
    </row>
    <row r="6" spans="1:10">
      <c r="E6"/>
    </row>
    <row r="7" spans="1:10">
      <c r="E7"/>
    </row>
    <row r="8" spans="1:10">
      <c r="E8"/>
    </row>
    <row r="9" spans="1:10">
      <c r="A9" s="46" t="s">
        <v>80</v>
      </c>
      <c r="B9" s="46" t="s">
        <v>81</v>
      </c>
      <c r="C9" s="46" t="s">
        <v>82</v>
      </c>
      <c r="D9" s="46" t="s">
        <v>26</v>
      </c>
      <c r="E9" s="46" t="s">
        <v>83</v>
      </c>
      <c r="F9" s="46" t="s">
        <v>84</v>
      </c>
      <c r="G9" s="46" t="s">
        <v>85</v>
      </c>
    </row>
    <row r="10" ht="18" spans="1:10">
      <c r="A10" s="47" t="s">
        <v>86</v>
      </c>
      <c r="B10" s="6" t="s">
        <v>87</v>
      </c>
      <c r="C10" s="21" t="s">
        <v>88</v>
      </c>
      <c r="D10" s="17" t="s">
        <v>89</v>
      </c>
      <c r="E10" s="17">
        <f>COUNTIF('UserAccountAccess&amp;Validation'!B:B,"*TS001*")</f>
        <v>26</v>
      </c>
      <c r="F10" s="17">
        <f>COUNTIFS('UserAccountAccess&amp;Validation'!J:J,"defect",'UserAccountAccess&amp;Validation'!B:B,"%TS001%")</f>
        <v>0</v>
      </c>
      <c r="G10" s="6"/>
    </row>
    <row r="11" ht="18" spans="1:10">
      <c r="A11" s="47" t="s">
        <v>90</v>
      </c>
      <c r="B11" s="6" t="s">
        <v>87</v>
      </c>
      <c r="C11" s="21" t="s">
        <v>91</v>
      </c>
      <c r="D11" s="17" t="s">
        <v>89</v>
      </c>
      <c r="E11" s="17">
        <f>COUNTIF('UserAccountAccess&amp;Validation'!B:B,"*TS002*")</f>
        <v>15</v>
      </c>
      <c r="F11" s="17">
        <f>COUNTIFS('UserAccountAccess&amp;Validation'!J:J,"defect",'UserAccountAccess&amp;Validation'!B:B,"%TS002%")</f>
        <v>0</v>
      </c>
      <c r="G11" s="6"/>
    </row>
    <row r="12" spans="1:10">
      <c r="A12" s="6" t="s">
        <v>92</v>
      </c>
      <c r="B12" s="6" t="s">
        <v>87</v>
      </c>
      <c r="C12" s="21" t="s">
        <v>93</v>
      </c>
      <c r="D12" s="17" t="s">
        <v>89</v>
      </c>
      <c r="E12" s="17">
        <f>COUNTIF('UserAccountAccess&amp;Validation'!B:B,"*TS003*")</f>
        <v>2</v>
      </c>
      <c r="F12" s="17">
        <f>COUNTIFS('UserAccountAccess&amp;Validation'!J:J,"defect",'UserAccountAccess&amp;Validation'!B:B,"%TS003%")</f>
        <v>0</v>
      </c>
      <c r="G12" s="6"/>
    </row>
    <row r="13" spans="1:10">
      <c r="A13" s="6" t="s">
        <v>94</v>
      </c>
      <c r="B13" s="6" t="s">
        <v>87</v>
      </c>
      <c r="C13" s="21" t="s">
        <v>95</v>
      </c>
      <c r="D13" s="17" t="s">
        <v>96</v>
      </c>
      <c r="E13" s="17">
        <f>COUNTIF('UserAccountAccess&amp;Validation'!B:B,"*TS004*")</f>
        <v>7</v>
      </c>
      <c r="F13" s="17">
        <f>COUNTIFS('UserAccountAccess&amp;Validation'!J:J,"defect",'UserAccountAccess&amp;Validation'!B:B,"%TS004%")</f>
        <v>0</v>
      </c>
      <c r="G13" s="6"/>
    </row>
    <row r="14" spans="1:10">
      <c r="A14" s="6" t="s">
        <v>97</v>
      </c>
      <c r="B14" s="6" t="s">
        <v>98</v>
      </c>
      <c r="C14" s="21" t="s">
        <v>99</v>
      </c>
      <c r="D14" s="17" t="s">
        <v>100</v>
      </c>
      <c r="E14" s="17">
        <f>COUNTIF(Search!B:B,"*TS005*")</f>
        <v>23</v>
      </c>
      <c r="F14" s="17">
        <f>COUNTIF(Search!J3:J10006,"Defect")</f>
        <v>0</v>
      </c>
      <c r="G14" s="6"/>
    </row>
    <row r="15" spans="1:10">
      <c r="A15" s="6" t="s">
        <v>101</v>
      </c>
      <c r="B15" s="6" t="s">
        <v>98</v>
      </c>
      <c r="C15" s="21" t="s">
        <v>102</v>
      </c>
      <c r="D15" s="17" t="s">
        <v>96</v>
      </c>
      <c r="E15" s="17">
        <f>COUNTIF('Product Comparison'!B:B,"*TS006*")</f>
        <v>7</v>
      </c>
      <c r="F15" s="17">
        <f>COUNTIF('Product Comparison'!J3:J9999,"Defect")</f>
        <v>0</v>
      </c>
      <c r="G15" s="6"/>
    </row>
    <row r="16" ht="18" spans="1:10">
      <c r="A16" s="47" t="s">
        <v>103</v>
      </c>
      <c r="B16" s="6" t="s">
        <v>98</v>
      </c>
      <c r="C16" s="21" t="s">
        <v>104</v>
      </c>
      <c r="D16" s="30" t="s">
        <v>100</v>
      </c>
      <c r="E16" s="30">
        <f>COUNTIF('Product Pages'!B2:B201,"*TS007*")</f>
        <v>30</v>
      </c>
      <c r="F16" s="17">
        <f>COUNTIF('Product Pages'!J2:J9998,"Defect")</f>
        <v>0</v>
      </c>
      <c r="G16" s="6"/>
    </row>
    <row r="17" spans="1:7">
      <c r="A17" s="6" t="s">
        <v>105</v>
      </c>
      <c r="B17" s="6" t="s">
        <v>98</v>
      </c>
      <c r="C17" s="21" t="s">
        <v>106</v>
      </c>
      <c r="D17" s="30" t="s">
        <v>100</v>
      </c>
      <c r="E17" s="30">
        <f>COUNTA(AddToCart!A3:A202)</f>
        <v>10</v>
      </c>
      <c r="F17" s="17">
        <f>COUNTIF(AddToCart!J3:J9999,"Defect")</f>
        <v>1</v>
      </c>
      <c r="G17" s="6"/>
    </row>
    <row r="18" spans="1:7">
      <c r="A18" s="6" t="s">
        <v>107</v>
      </c>
      <c r="B18" s="6" t="s">
        <v>98</v>
      </c>
      <c r="C18" s="21" t="s">
        <v>108</v>
      </c>
      <c r="D18" s="30" t="s">
        <v>109</v>
      </c>
      <c r="E18" s="30">
        <f>COUNTA(WishList!B:B)</f>
        <v>11</v>
      </c>
      <c r="F18" s="17">
        <f>COUNTIF(WishList!J1:J10004,"Defect")</f>
        <v>2</v>
      </c>
      <c r="G18" s="6"/>
    </row>
    <row r="19" spans="1:7">
      <c r="A19" s="6" t="s">
        <v>110</v>
      </c>
      <c r="B19" s="6" t="s">
        <v>98</v>
      </c>
      <c r="C19" s="21" t="s">
        <v>111</v>
      </c>
      <c r="D19" s="30" t="s">
        <v>100</v>
      </c>
      <c r="E19" s="30">
        <f>COUNTA('Shopping Cart page'!A1:A1007)</f>
        <v>36</v>
      </c>
      <c r="F19" s="17">
        <f>COUNTIF('Shopping Cart page'!J2:J9998,"Defect")</f>
        <v>0</v>
      </c>
      <c r="G19" s="6"/>
    </row>
    <row r="20" customFormat="1" spans="1:7">
      <c r="A20" s="6" t="s">
        <v>112</v>
      </c>
      <c r="B20" s="48" t="s">
        <v>98</v>
      </c>
      <c r="C20" s="49" t="s">
        <v>113</v>
      </c>
      <c r="D20" s="50" t="s">
        <v>96</v>
      </c>
      <c r="E20" s="50">
        <f>COUNTA(HomePage!A2:A9997)</f>
        <v>11</v>
      </c>
      <c r="F20" s="17">
        <f>COUNTIF(HomePage!J2:J9998,"Defect")</f>
        <v>0</v>
      </c>
      <c r="G20" s="6"/>
    </row>
    <row r="21" spans="1:7">
      <c r="A21" s="6" t="s">
        <v>114</v>
      </c>
      <c r="B21" s="6" t="s">
        <v>98</v>
      </c>
      <c r="C21" s="21" t="s">
        <v>115</v>
      </c>
      <c r="D21" s="30" t="s">
        <v>100</v>
      </c>
      <c r="E21" s="30">
        <f>COUNTA(Checkout!A2:A10052)</f>
        <v>66</v>
      </c>
      <c r="F21" s="17">
        <f>COUNTIF(Checkout!J2:J10052,"defect")</f>
        <v>0</v>
      </c>
      <c r="G21" s="6"/>
    </row>
    <row r="22" spans="1:7">
      <c r="A22" s="6" t="s">
        <v>116</v>
      </c>
      <c r="B22" s="6" t="s">
        <v>87</v>
      </c>
      <c r="C22" s="21" t="s">
        <v>117</v>
      </c>
      <c r="D22" s="30" t="s">
        <v>118</v>
      </c>
      <c r="E22" s="30">
        <f>COUNTIF(UserFeature!B:B,"*TS013*")</f>
        <v>2</v>
      </c>
      <c r="F22" s="17"/>
      <c r="G22" s="6"/>
    </row>
    <row r="23" spans="1:7">
      <c r="A23" s="6" t="s">
        <v>119</v>
      </c>
      <c r="B23" s="6" t="s">
        <v>87</v>
      </c>
      <c r="C23" s="21" t="s">
        <v>120</v>
      </c>
      <c r="D23" s="30" t="s">
        <v>118</v>
      </c>
      <c r="E23" s="30">
        <f>COUNTIF(UserFeature!B:B,"*TS014*")</f>
        <v>19</v>
      </c>
      <c r="F23" s="17"/>
      <c r="G23" s="6"/>
    </row>
    <row r="24" spans="1:7">
      <c r="A24" s="6" t="s">
        <v>121</v>
      </c>
      <c r="B24" s="6" t="s">
        <v>87</v>
      </c>
      <c r="C24" s="21" t="s">
        <v>122</v>
      </c>
      <c r="D24" s="30" t="s">
        <v>118</v>
      </c>
      <c r="E24" s="30">
        <f>COUNTIF(UserFeature!B:B,"*TS015*")</f>
        <v>17</v>
      </c>
      <c r="F24" s="17"/>
      <c r="G24" s="6"/>
    </row>
    <row r="25" spans="1:7">
      <c r="A25" s="6" t="s">
        <v>123</v>
      </c>
      <c r="B25" s="6" t="s">
        <v>87</v>
      </c>
      <c r="C25" s="21" t="s">
        <v>124</v>
      </c>
      <c r="D25" s="12" t="s">
        <v>118</v>
      </c>
      <c r="E25" s="30">
        <f>COUNTIF(UserFeature!B:B,"*TS016*")</f>
        <v>66</v>
      </c>
      <c r="F25" s="17"/>
      <c r="G25" s="6"/>
    </row>
    <row r="26" spans="1:7">
      <c r="A26" s="6" t="s">
        <v>125</v>
      </c>
      <c r="B26" s="6" t="s">
        <v>87</v>
      </c>
      <c r="C26" s="21" t="s">
        <v>126</v>
      </c>
      <c r="D26" s="30" t="s">
        <v>118</v>
      </c>
      <c r="E26" s="30"/>
      <c r="F26" s="17"/>
      <c r="G26" s="6"/>
    </row>
    <row r="27" spans="1:7">
      <c r="A27" s="6" t="s">
        <v>127</v>
      </c>
      <c r="B27" s="6" t="s">
        <v>87</v>
      </c>
      <c r="C27" s="21" t="s">
        <v>128</v>
      </c>
      <c r="D27" s="30" t="s">
        <v>118</v>
      </c>
      <c r="E27" s="30"/>
      <c r="F27" s="17"/>
      <c r="G27" s="6"/>
    </row>
    <row r="28" spans="1:7">
      <c r="A28" s="6" t="s">
        <v>129</v>
      </c>
      <c r="B28" s="6" t="s">
        <v>87</v>
      </c>
      <c r="C28" s="21" t="s">
        <v>130</v>
      </c>
      <c r="D28" s="30" t="s">
        <v>118</v>
      </c>
      <c r="E28" s="30"/>
      <c r="F28" s="17"/>
      <c r="G28" s="6"/>
    </row>
    <row r="29" spans="1:7">
      <c r="A29" s="6" t="s">
        <v>131</v>
      </c>
      <c r="B29" s="6" t="s">
        <v>87</v>
      </c>
      <c r="C29" s="21" t="s">
        <v>132</v>
      </c>
      <c r="D29" s="30" t="s">
        <v>118</v>
      </c>
      <c r="E29" s="30"/>
      <c r="F29" s="17"/>
      <c r="G29" s="6"/>
    </row>
    <row r="30" spans="1:7">
      <c r="A30" s="6" t="s">
        <v>133</v>
      </c>
      <c r="B30" s="6" t="s">
        <v>87</v>
      </c>
      <c r="C30" s="21" t="s">
        <v>134</v>
      </c>
      <c r="D30" s="30" t="s">
        <v>118</v>
      </c>
      <c r="E30" s="30"/>
      <c r="F30" s="17"/>
      <c r="G30" s="6"/>
    </row>
    <row r="31" spans="1:7">
      <c r="A31" s="6" t="s">
        <v>135</v>
      </c>
      <c r="B31" s="6" t="s">
        <v>87</v>
      </c>
      <c r="C31" s="21" t="s">
        <v>136</v>
      </c>
      <c r="D31" s="30" t="s">
        <v>118</v>
      </c>
      <c r="E31" s="30"/>
      <c r="F31" s="17"/>
      <c r="G31" s="6"/>
    </row>
    <row r="32" spans="1:7">
      <c r="A32" s="6" t="s">
        <v>137</v>
      </c>
      <c r="B32" s="6" t="s">
        <v>87</v>
      </c>
      <c r="C32" s="21" t="s">
        <v>138</v>
      </c>
      <c r="D32" s="30" t="s">
        <v>118</v>
      </c>
      <c r="E32" s="30"/>
      <c r="F32" s="17"/>
      <c r="G32" s="6"/>
    </row>
    <row r="33" spans="1:7">
      <c r="A33" s="6" t="s">
        <v>139</v>
      </c>
      <c r="B33" s="6" t="s">
        <v>87</v>
      </c>
      <c r="C33" s="21" t="s">
        <v>140</v>
      </c>
      <c r="D33" s="30" t="s">
        <v>118</v>
      </c>
      <c r="E33" s="30"/>
      <c r="F33" s="17"/>
      <c r="G33" s="6"/>
    </row>
    <row r="34" spans="1:7">
      <c r="A34" s="6" t="s">
        <v>141</v>
      </c>
      <c r="B34" s="6" t="s">
        <v>98</v>
      </c>
      <c r="C34" s="48" t="s">
        <v>142</v>
      </c>
      <c r="D34" s="30" t="s">
        <v>109</v>
      </c>
      <c r="E34" s="30"/>
      <c r="F34" s="17"/>
      <c r="G34" s="6"/>
    </row>
    <row r="35" spans="1:7">
      <c r="A35" s="6" t="s">
        <v>143</v>
      </c>
      <c r="B35" s="6" t="s">
        <v>98</v>
      </c>
      <c r="C35" s="48" t="s">
        <v>144</v>
      </c>
      <c r="D35" s="30" t="s">
        <v>109</v>
      </c>
      <c r="E35" s="30"/>
      <c r="F35" s="17"/>
      <c r="G35" s="6"/>
    </row>
    <row r="36" spans="1:7">
      <c r="A36" s="6" t="s">
        <v>145</v>
      </c>
      <c r="B36" s="6" t="s">
        <v>98</v>
      </c>
      <c r="C36" s="48" t="s">
        <v>146</v>
      </c>
      <c r="D36" s="30" t="s">
        <v>109</v>
      </c>
      <c r="E36" s="30"/>
      <c r="F36" s="17"/>
      <c r="G36" s="6"/>
    </row>
    <row r="37" spans="1:7">
      <c r="A37" s="6" t="s">
        <v>147</v>
      </c>
      <c r="B37" s="6" t="s">
        <v>98</v>
      </c>
      <c r="C37" s="48" t="s">
        <v>148</v>
      </c>
      <c r="D37" s="30" t="s">
        <v>109</v>
      </c>
      <c r="E37" s="30"/>
      <c r="F37" s="17"/>
      <c r="G37" s="6"/>
    </row>
    <row r="38" spans="1:7">
      <c r="A38" s="6" t="s">
        <v>149</v>
      </c>
      <c r="B38" s="6" t="s">
        <v>98</v>
      </c>
      <c r="C38" s="21" t="s">
        <v>150</v>
      </c>
      <c r="D38" s="30" t="s">
        <v>109</v>
      </c>
      <c r="E38" s="30"/>
      <c r="F38" s="17"/>
      <c r="G38" s="6"/>
    </row>
    <row r="39" customFormat="1" spans="1:7">
      <c r="A39" s="6" t="s">
        <v>151</v>
      </c>
      <c r="B39" s="21" t="s">
        <v>98</v>
      </c>
      <c r="C39" s="49" t="s">
        <v>152</v>
      </c>
      <c r="D39" s="50" t="s">
        <v>109</v>
      </c>
      <c r="E39" s="50">
        <f>COUNTA(Header!A2:A204)</f>
        <v>26</v>
      </c>
      <c r="F39" s="17">
        <f>COUNTIF(Header!J2:J10003,"Defect")</f>
        <v>0</v>
      </c>
      <c r="G39" s="6"/>
    </row>
    <row r="40" spans="1:7">
      <c r="A40" s="6" t="s">
        <v>153</v>
      </c>
      <c r="B40" s="6" t="s">
        <v>98</v>
      </c>
      <c r="C40" s="21" t="s">
        <v>154</v>
      </c>
      <c r="D40" s="30" t="s">
        <v>109</v>
      </c>
      <c r="E40" s="30">
        <f>COUNTA('Top Menu'!A2:A200)</f>
        <v>5</v>
      </c>
      <c r="F40" s="17">
        <f>COUNTIF('Top Menu'!J2:J9998,"defect")</f>
        <v>0</v>
      </c>
      <c r="G40" s="6"/>
    </row>
    <row r="41" spans="1:7">
      <c r="A41" s="6" t="s">
        <v>155</v>
      </c>
      <c r="B41" s="6" t="s">
        <v>98</v>
      </c>
      <c r="C41" s="21" t="s">
        <v>156</v>
      </c>
      <c r="D41" s="30" t="s">
        <v>109</v>
      </c>
      <c r="E41" s="30">
        <f>COUNTA(Footer!A2:A199)</f>
        <v>16</v>
      </c>
      <c r="F41" s="17">
        <f>COUNTIF(Footer!J2:J9998,"defect")</f>
        <v>0</v>
      </c>
      <c r="G41" s="6"/>
    </row>
    <row r="42" spans="1:7">
      <c r="A42" s="6" t="s">
        <v>157</v>
      </c>
      <c r="B42" s="6" t="s">
        <v>98</v>
      </c>
      <c r="C42" s="21" t="s">
        <v>158</v>
      </c>
      <c r="D42" s="17" t="s">
        <v>96</v>
      </c>
      <c r="E42" s="17">
        <f>COUNTA(Currency!A2:A199)</f>
        <v>2</v>
      </c>
      <c r="F42" s="17">
        <f>COUNTIF(Currency!J2:J9998,"defect")</f>
        <v>0</v>
      </c>
      <c r="G42" s="6"/>
    </row>
    <row r="43" spans="1:7">
      <c r="A43" s="25"/>
      <c r="B43" s="25"/>
      <c r="C43" s="25"/>
      <c r="D43" s="51" t="s">
        <v>159</v>
      </c>
      <c r="E43" s="52">
        <f>SUM(E10:E42)</f>
        <v>397</v>
      </c>
    </row>
  </sheetData>
  <mergeCells count="2">
    <mergeCell ref="B2:G2"/>
    <mergeCell ref="B3:G3"/>
  </mergeCells>
  <dataValidations count="1">
    <dataValidation type="list" allowBlank="1" showInputMessage="1" showErrorMessage="1" sqref="D10:D24 D26:D42">
      <formula1>"P0,P1,P2,P3,P4"</formula1>
    </dataValidation>
  </dataValidations>
  <hyperlinks>
    <hyperlink ref="A10" location="Register!A1" display="TS001"/>
    <hyperlink ref="B2" r:id="rId1" display="https://demo.opencart.com/" tooltip="https://demo.opencart.com/"/>
    <hyperlink ref="A11" location="TS002!A1" display="TS002"/>
    <hyperlink ref="B3" r:id="rId2" display="https://drive.google.com/drive/folders/1nBs25k9jTb06qrV-5fTC75gtPOR6uW4V"/>
    <hyperlink ref="A20" location="HomePage!A1" display="TS011"/>
    <hyperlink ref="A39" location="Header!A1" display="TS030"/>
    <hyperlink ref="A40" location="'Top Menu'!A1" display="TS031"/>
    <hyperlink ref="A16" location="'Product Pages'!A1" display="TS007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51"/>
  <sheetViews>
    <sheetView zoomScale="70" zoomScaleNormal="70" workbookViewId="0">
      <pane ySplit="1" topLeftCell="A15" activePane="bottomLeft" state="frozen"/>
      <selection/>
      <selection pane="bottomLeft" activeCell="K17" sqref="K17"/>
    </sheetView>
  </sheetViews>
  <sheetFormatPr defaultColWidth="9" defaultRowHeight="14.25"/>
  <cols>
    <col min="1" max="1" width="13.125" customWidth="1"/>
    <col min="2" max="2" width="56.625" style="1" customWidth="1"/>
    <col min="3" max="3" width="48.625" customWidth="1"/>
    <col min="4" max="4" width="36.25" customWidth="1"/>
    <col min="5" max="5" width="29.125" style="2" customWidth="1"/>
    <col min="6" max="6" width="52.875" customWidth="1"/>
    <col min="7" max="7" width="42.625" style="2" customWidth="1"/>
    <col min="8" max="8" width="39.5" style="2" customWidth="1"/>
    <col min="9" max="9" width="7.75" customWidth="1"/>
    <col min="10" max="10" width="7.125" customWidth="1"/>
    <col min="11" max="11" width="37.25" customWidth="1"/>
  </cols>
  <sheetData>
    <row r="1" ht="15" spans="1:11">
      <c r="A1" s="4" t="s">
        <v>160</v>
      </c>
      <c r="B1" s="5" t="s">
        <v>161</v>
      </c>
      <c r="C1" s="5" t="s">
        <v>162</v>
      </c>
      <c r="D1" s="4" t="s">
        <v>163</v>
      </c>
      <c r="E1" s="5" t="s">
        <v>164</v>
      </c>
      <c r="F1" s="4" t="s">
        <v>165</v>
      </c>
      <c r="G1" s="5" t="s">
        <v>166</v>
      </c>
      <c r="H1" s="5" t="s">
        <v>24</v>
      </c>
      <c r="I1" s="4" t="s">
        <v>26</v>
      </c>
      <c r="J1" s="4" t="s">
        <v>167</v>
      </c>
      <c r="K1" s="4" t="s">
        <v>168</v>
      </c>
    </row>
    <row r="2" ht="36" spans="1:11">
      <c r="A2" s="6" t="s">
        <v>169</v>
      </c>
      <c r="B2" s="40" t="str">
        <f>_xlfn.TEXTJOIN(CHAR(10),,Scenario!A11,Scenario!C11)</f>
        <v>TS002
Validate the working of 'Login' functionality</v>
      </c>
      <c r="C2" s="8" t="s">
        <v>170</v>
      </c>
      <c r="D2" s="8" t="s">
        <v>171</v>
      </c>
      <c r="E2" s="8" t="s">
        <v>172</v>
      </c>
      <c r="F2" s="6" t="s">
        <v>173</v>
      </c>
      <c r="G2" s="8" t="s">
        <v>174</v>
      </c>
      <c r="H2" s="8"/>
      <c r="I2" s="6"/>
      <c r="J2" s="6"/>
      <c r="K2" s="6"/>
    </row>
    <row r="3" ht="42.75" spans="1:11">
      <c r="A3" s="6" t="s">
        <v>175</v>
      </c>
      <c r="B3" s="41" t="str">
        <f>_xlfn.TEXTJOIN(CHAR(10),,Scenario!A11,Scenario!C11)</f>
        <v>TS002
Validate the working of 'Login' functionality</v>
      </c>
      <c r="C3" s="6" t="s">
        <v>176</v>
      </c>
      <c r="D3" s="8" t="s">
        <v>177</v>
      </c>
      <c r="E3" s="8" t="s">
        <v>178</v>
      </c>
      <c r="F3" s="6" t="s">
        <v>173</v>
      </c>
      <c r="G3" s="8" t="s">
        <v>179</v>
      </c>
      <c r="H3" s="8"/>
      <c r="I3" s="6"/>
      <c r="J3" s="6"/>
      <c r="K3" s="6"/>
    </row>
    <row r="4" ht="57" spans="1:11">
      <c r="A4" s="6" t="s">
        <v>180</v>
      </c>
      <c r="B4" s="41" t="str">
        <f>_xlfn.TEXTJOIN(CHAR(10),,Scenario!A11,Scenario!C11)</f>
        <v>TS002
Validate the working of 'Login' functionality</v>
      </c>
      <c r="C4" s="6" t="s">
        <v>181</v>
      </c>
      <c r="D4" s="8" t="s">
        <v>182</v>
      </c>
      <c r="E4" s="8" t="s">
        <v>183</v>
      </c>
      <c r="F4" s="6" t="s">
        <v>173</v>
      </c>
      <c r="G4" s="8" t="s">
        <v>184</v>
      </c>
      <c r="H4" s="8"/>
      <c r="I4" s="6"/>
      <c r="J4" s="6"/>
      <c r="K4" s="6"/>
    </row>
    <row r="5" ht="71.25" spans="1:11">
      <c r="A5" s="6" t="s">
        <v>185</v>
      </c>
      <c r="B5" s="41" t="str">
        <f>_xlfn.TEXTJOIN(CHAR(10),,Scenario!A11,Scenario!C11)</f>
        <v>TS002
Validate the working of 'Login' functionality</v>
      </c>
      <c r="C5" s="6" t="s">
        <v>186</v>
      </c>
      <c r="D5" s="8" t="s">
        <v>187</v>
      </c>
      <c r="E5" s="8" t="s">
        <v>188</v>
      </c>
      <c r="F5" s="6" t="s">
        <v>189</v>
      </c>
      <c r="G5" s="8" t="s">
        <v>190</v>
      </c>
      <c r="H5" s="8"/>
      <c r="I5" s="6"/>
      <c r="J5" s="6"/>
      <c r="K5" s="6"/>
    </row>
    <row r="6" ht="71.25" spans="1:11">
      <c r="A6" s="6" t="s">
        <v>191</v>
      </c>
      <c r="B6" s="41" t="str">
        <f>_xlfn.TEXTJOIN(CHAR(10),,Scenario!A11,Scenario!C11)</f>
        <v>TS002
Validate the working of 'Login' functionality</v>
      </c>
      <c r="C6" s="6" t="s">
        <v>192</v>
      </c>
      <c r="D6" s="8" t="s">
        <v>193</v>
      </c>
      <c r="E6" s="8" t="s">
        <v>194</v>
      </c>
      <c r="F6" s="6" t="s">
        <v>173</v>
      </c>
      <c r="G6" s="8" t="s">
        <v>195</v>
      </c>
      <c r="H6" s="8" t="s">
        <v>196</v>
      </c>
      <c r="I6" s="6"/>
      <c r="J6" s="6"/>
      <c r="K6" s="6"/>
    </row>
    <row r="7" ht="57" spans="1:11">
      <c r="A7" s="6" t="s">
        <v>197</v>
      </c>
      <c r="B7" s="41" t="str">
        <f>_xlfn.TEXTJOIN(CHAR(10),,Scenario!A11,Scenario!C11)</f>
        <v>TS002
Validate the working of 'Login' functionality</v>
      </c>
      <c r="C7" s="6" t="s">
        <v>198</v>
      </c>
      <c r="D7" s="8" t="s">
        <v>193</v>
      </c>
      <c r="E7" s="8" t="s">
        <v>199</v>
      </c>
      <c r="F7" s="6" t="s">
        <v>200</v>
      </c>
      <c r="G7" s="8" t="s">
        <v>201</v>
      </c>
      <c r="H7" s="8"/>
      <c r="I7" s="6"/>
      <c r="J7" s="6"/>
      <c r="K7" s="6"/>
    </row>
    <row r="8" ht="57" spans="1:11">
      <c r="A8" s="6" t="s">
        <v>202</v>
      </c>
      <c r="B8" s="41" t="str">
        <f>_xlfn.TEXTJOIN(CHAR(10),,Scenario!A11,Scenario!C11)</f>
        <v>TS002
Validate the working of 'Login' functionality</v>
      </c>
      <c r="C8" s="6" t="s">
        <v>203</v>
      </c>
      <c r="D8" s="8" t="s">
        <v>193</v>
      </c>
      <c r="E8" s="8" t="s">
        <v>204</v>
      </c>
      <c r="F8" s="6" t="s">
        <v>205</v>
      </c>
      <c r="G8" s="8" t="s">
        <v>206</v>
      </c>
      <c r="H8" s="8" t="s">
        <v>207</v>
      </c>
      <c r="I8" s="6"/>
      <c r="J8" s="6"/>
      <c r="K8" s="6"/>
    </row>
    <row r="9" ht="57" spans="1:11">
      <c r="A9" s="6" t="s">
        <v>208</v>
      </c>
      <c r="B9" s="41" t="str">
        <f>_xlfn.TEXTJOIN(CHAR(10),,Scenario!A11,Scenario!C11)</f>
        <v>TS002
Validate the working of 'Login' functionality</v>
      </c>
      <c r="C9" s="6" t="s">
        <v>209</v>
      </c>
      <c r="D9" s="8" t="s">
        <v>193</v>
      </c>
      <c r="E9" s="8" t="s">
        <v>204</v>
      </c>
      <c r="F9" s="6" t="s">
        <v>210</v>
      </c>
      <c r="G9" s="8" t="s">
        <v>211</v>
      </c>
      <c r="H9" s="8" t="s">
        <v>207</v>
      </c>
      <c r="I9" s="6"/>
      <c r="J9" s="6"/>
      <c r="K9" s="6" t="s">
        <v>212</v>
      </c>
    </row>
    <row r="10" customFormat="1" ht="57" spans="1:11">
      <c r="A10" s="6" t="s">
        <v>213</v>
      </c>
      <c r="B10" s="41" t="str">
        <f>_xlfn.TEXTJOIN(CHAR(10),,Scenario!A11,Scenario!C11)</f>
        <v>TS002
Validate the working of 'Login' functionality</v>
      </c>
      <c r="C10" s="6" t="s">
        <v>214</v>
      </c>
      <c r="D10" s="8" t="s">
        <v>193</v>
      </c>
      <c r="E10" s="8" t="s">
        <v>204</v>
      </c>
      <c r="F10" s="6" t="s">
        <v>215</v>
      </c>
      <c r="G10" s="8" t="s">
        <v>216</v>
      </c>
      <c r="H10" s="8" t="s">
        <v>207</v>
      </c>
      <c r="I10" s="6"/>
      <c r="J10" s="6"/>
      <c r="K10" s="6" t="s">
        <v>212</v>
      </c>
    </row>
    <row r="11" customFormat="1" ht="42.75" spans="1:11">
      <c r="A11" s="6" t="s">
        <v>217</v>
      </c>
      <c r="B11" s="41" t="str">
        <f>_xlfn.TEXTJOIN(CHAR(10),,Scenario!A12,Scenario!C12)</f>
        <v>TS003
Validate the working of 'Logout' functionality</v>
      </c>
      <c r="C11" s="6" t="s">
        <v>218</v>
      </c>
      <c r="D11" s="8" t="s">
        <v>193</v>
      </c>
      <c r="E11" s="8" t="s">
        <v>219</v>
      </c>
      <c r="F11" s="6" t="s">
        <v>173</v>
      </c>
      <c r="G11" s="8" t="s">
        <v>220</v>
      </c>
      <c r="H11" s="8" t="s">
        <v>221</v>
      </c>
      <c r="I11" s="6"/>
      <c r="J11" s="6"/>
      <c r="K11" s="6"/>
    </row>
    <row r="12" ht="57" spans="1:11">
      <c r="A12" s="6" t="s">
        <v>222</v>
      </c>
      <c r="B12" s="42" t="str">
        <f>_xlfn.TEXTJOIN(CHAR(10),,Scenario!A11,Scenario!C11)</f>
        <v>TS002
Validate the working of 'Login' functionality</v>
      </c>
      <c r="C12" s="6" t="s">
        <v>223</v>
      </c>
      <c r="D12" s="8" t="s">
        <v>193</v>
      </c>
      <c r="E12" s="8" t="s">
        <v>224</v>
      </c>
      <c r="F12" s="8" t="s">
        <v>225</v>
      </c>
      <c r="G12" s="8" t="s">
        <v>226</v>
      </c>
      <c r="H12" s="8"/>
      <c r="I12" s="6"/>
      <c r="J12" s="6"/>
      <c r="K12" s="6"/>
    </row>
    <row r="13" ht="57" spans="1:11">
      <c r="A13" s="6" t="s">
        <v>227</v>
      </c>
      <c r="B13" s="41" t="str">
        <f>_xlfn.TEXTJOIN(CHAR(10),,Scenario!A11,Scenario!C11)</f>
        <v>TS002
Validate the working of 'Login' functionality</v>
      </c>
      <c r="C13" s="6" t="s">
        <v>228</v>
      </c>
      <c r="D13" s="8" t="s">
        <v>193</v>
      </c>
      <c r="E13" s="8" t="s">
        <v>224</v>
      </c>
      <c r="F13" s="6" t="s">
        <v>229</v>
      </c>
      <c r="G13" s="8" t="s">
        <v>230</v>
      </c>
      <c r="H13" s="8" t="s">
        <v>231</v>
      </c>
      <c r="I13" s="6"/>
      <c r="J13" s="6"/>
      <c r="K13" s="6"/>
    </row>
    <row r="14" ht="57" spans="1:11">
      <c r="A14" s="6" t="s">
        <v>232</v>
      </c>
      <c r="B14" s="41" t="str">
        <f>_xlfn.TEXTJOIN(CHAR(10),,Scenario!A11,Scenario!C11)</f>
        <v>TS002
Validate the working of 'Login' functionality</v>
      </c>
      <c r="C14" s="6" t="s">
        <v>233</v>
      </c>
      <c r="D14" s="8" t="s">
        <v>193</v>
      </c>
      <c r="E14" s="8" t="s">
        <v>224</v>
      </c>
      <c r="F14" s="6" t="s">
        <v>234</v>
      </c>
      <c r="G14" s="8" t="s">
        <v>235</v>
      </c>
      <c r="H14" s="8" t="s">
        <v>231</v>
      </c>
      <c r="I14" s="6"/>
      <c r="J14" s="6"/>
      <c r="K14" s="6"/>
    </row>
    <row r="15" ht="57" spans="1:11">
      <c r="A15" s="6" t="s">
        <v>236</v>
      </c>
      <c r="B15" s="41" t="str">
        <f>_xlfn.TEXTJOIN(CHAR(10),,Scenario!A11,Scenario!C11)</f>
        <v>TS002
Validate the working of 'Login' functionality</v>
      </c>
      <c r="C15" s="6" t="s">
        <v>237</v>
      </c>
      <c r="D15" s="8" t="s">
        <v>193</v>
      </c>
      <c r="E15" s="8" t="s">
        <v>224</v>
      </c>
      <c r="F15" s="6" t="s">
        <v>238</v>
      </c>
      <c r="G15" s="8" t="s">
        <v>235</v>
      </c>
      <c r="H15" s="8" t="s">
        <v>231</v>
      </c>
      <c r="I15" s="6"/>
      <c r="J15" s="6"/>
      <c r="K15" s="6"/>
    </row>
    <row r="16" ht="57" spans="1:11">
      <c r="A16" s="6" t="s">
        <v>239</v>
      </c>
      <c r="B16" s="41" t="str">
        <f>_xlfn.TEXTJOIN(CHAR(10),,Scenario!A11,Scenario!C11)</f>
        <v>TS002
Validate the working of 'Login' functionality</v>
      </c>
      <c r="C16" s="6" t="s">
        <v>240</v>
      </c>
      <c r="D16" s="8" t="s">
        <v>193</v>
      </c>
      <c r="E16" s="8" t="s">
        <v>241</v>
      </c>
      <c r="F16" s="8" t="s">
        <v>242</v>
      </c>
      <c r="G16" s="8" t="s">
        <v>243</v>
      </c>
      <c r="H16" s="8"/>
      <c r="I16" s="6"/>
      <c r="J16" s="6"/>
      <c r="K16" s="6"/>
    </row>
    <row r="17" ht="57" spans="1:11">
      <c r="A17" s="6" t="s">
        <v>244</v>
      </c>
      <c r="B17" s="41" t="str">
        <f>_xlfn.TEXTJOIN(CHAR(10),,Scenario!A11,Scenario!C11)</f>
        <v>TS002
Validate the working of 'Login' functionality</v>
      </c>
      <c r="C17" s="6" t="s">
        <v>245</v>
      </c>
      <c r="D17" s="8" t="s">
        <v>193</v>
      </c>
      <c r="E17" s="8" t="s">
        <v>241</v>
      </c>
      <c r="F17" s="8" t="s">
        <v>246</v>
      </c>
      <c r="G17" s="8" t="s">
        <v>247</v>
      </c>
      <c r="H17" s="8" t="s">
        <v>248</v>
      </c>
      <c r="I17" s="6"/>
      <c r="J17" s="6"/>
      <c r="K17" s="6"/>
    </row>
    <row r="18" ht="42.75" spans="1:11">
      <c r="A18" s="6" t="s">
        <v>249</v>
      </c>
      <c r="B18" s="41" t="str">
        <f>_xlfn.TEXTJOIN(CHAR(10),,Scenario!$A$10,Scenario!$C$10)</f>
        <v>TS001
Validate the working of 'Register an account' functionality</v>
      </c>
      <c r="C18" s="6" t="s">
        <v>250</v>
      </c>
      <c r="D18" s="8" t="s">
        <v>251</v>
      </c>
      <c r="E18" s="8" t="s">
        <v>252</v>
      </c>
      <c r="F18" s="6" t="s">
        <v>173</v>
      </c>
      <c r="G18" s="8" t="s">
        <v>253</v>
      </c>
      <c r="H18" s="8"/>
      <c r="I18" s="6"/>
      <c r="J18" s="6"/>
      <c r="K18" s="6"/>
    </row>
    <row r="19" ht="71.25" spans="1:11">
      <c r="A19" s="6" t="s">
        <v>254</v>
      </c>
      <c r="B19" s="41" t="str">
        <f>_xlfn.TEXTJOIN(CHAR(10),,Scenario!$A$10,Scenario!$C$10)</f>
        <v>TS001
Validate the working of 'Register an account' functionality</v>
      </c>
      <c r="C19" s="6" t="s">
        <v>255</v>
      </c>
      <c r="D19" s="8" t="s">
        <v>187</v>
      </c>
      <c r="E19" s="8" t="s">
        <v>256</v>
      </c>
      <c r="F19" s="6" t="s">
        <v>189</v>
      </c>
      <c r="G19" s="8" t="s">
        <v>190</v>
      </c>
      <c r="H19" s="8"/>
      <c r="I19" s="6"/>
      <c r="J19" s="6"/>
      <c r="K19" s="6"/>
    </row>
    <row r="20" customFormat="1" ht="28.5" spans="1:11">
      <c r="A20" s="6" t="s">
        <v>257</v>
      </c>
      <c r="B20" s="41" t="str">
        <f>_xlfn.TEXTJOIN(CHAR(10),,Scenario!$A$10,Scenario!$C$10)</f>
        <v>TS001
Validate the working of 'Register an account' functionality</v>
      </c>
      <c r="C20" s="6" t="s">
        <v>258</v>
      </c>
      <c r="D20" s="8" t="s">
        <v>182</v>
      </c>
      <c r="E20" s="8" t="s">
        <v>259</v>
      </c>
      <c r="F20" s="6" t="s">
        <v>173</v>
      </c>
      <c r="G20" s="8" t="s">
        <v>253</v>
      </c>
      <c r="H20" s="8"/>
      <c r="I20" s="6"/>
      <c r="J20" s="6"/>
      <c r="K20" s="6"/>
    </row>
    <row r="21" ht="57" spans="1:11">
      <c r="A21" s="6" t="s">
        <v>260</v>
      </c>
      <c r="B21" s="41" t="str">
        <f>_xlfn.TEXTJOIN(CHAR(10),,Scenario!$A$10,Scenario!$C$10)</f>
        <v>TS001
Validate the working of 'Register an account' functionality</v>
      </c>
      <c r="C21" s="6" t="s">
        <v>261</v>
      </c>
      <c r="D21" s="8" t="s">
        <v>251</v>
      </c>
      <c r="E21" s="8" t="s">
        <v>172</v>
      </c>
      <c r="F21" s="6" t="s">
        <v>173</v>
      </c>
      <c r="G21" s="8" t="s">
        <v>262</v>
      </c>
      <c r="H21" s="8"/>
      <c r="I21" s="6"/>
      <c r="J21" s="6"/>
      <c r="K21" s="6"/>
    </row>
    <row r="22" ht="57" spans="1:11">
      <c r="A22" s="6" t="s">
        <v>263</v>
      </c>
      <c r="B22" s="41" t="str">
        <f>_xlfn.TEXTJOIN(CHAR(10),,Scenario!$A$10,Scenario!$C$10)</f>
        <v>TS001
Validate the working of 'Register an account' functionality</v>
      </c>
      <c r="C22" s="6" t="s">
        <v>264</v>
      </c>
      <c r="D22" s="8" t="s">
        <v>251</v>
      </c>
      <c r="E22" s="8" t="s">
        <v>265</v>
      </c>
      <c r="F22" s="6" t="s">
        <v>173</v>
      </c>
      <c r="G22" s="8" t="s">
        <v>266</v>
      </c>
      <c r="H22" s="8"/>
      <c r="I22" s="6"/>
      <c r="J22" s="6"/>
      <c r="K22" s="6"/>
    </row>
    <row r="23" ht="57" spans="1:11">
      <c r="A23" s="6" t="s">
        <v>267</v>
      </c>
      <c r="B23" s="41" t="str">
        <f>_xlfn.TEXTJOIN(CHAR(10),,Scenario!$A$10,Scenario!$C$10)</f>
        <v>TS001
Validate the working of 'Register an account' functionality</v>
      </c>
      <c r="C23" s="6" t="s">
        <v>268</v>
      </c>
      <c r="D23" s="8" t="s">
        <v>251</v>
      </c>
      <c r="E23" s="8" t="s">
        <v>269</v>
      </c>
      <c r="F23" s="6" t="s">
        <v>270</v>
      </c>
      <c r="G23" s="8" t="s">
        <v>271</v>
      </c>
      <c r="H23" s="8"/>
      <c r="I23" s="6"/>
      <c r="J23" s="6"/>
      <c r="K23" s="6"/>
    </row>
    <row r="24" ht="57" spans="1:11">
      <c r="A24" s="6" t="s">
        <v>272</v>
      </c>
      <c r="B24" s="41" t="str">
        <f>_xlfn.TEXTJOIN(CHAR(10),,Scenario!$A$10,Scenario!$C$10)</f>
        <v>TS001
Validate the working of 'Register an account' functionality</v>
      </c>
      <c r="C24" s="6" t="s">
        <v>273</v>
      </c>
      <c r="D24" s="8" t="s">
        <v>251</v>
      </c>
      <c r="E24" s="8" t="s">
        <v>269</v>
      </c>
      <c r="F24" s="6" t="s">
        <v>274</v>
      </c>
      <c r="G24" s="8" t="s">
        <v>275</v>
      </c>
      <c r="H24" s="8"/>
      <c r="I24" s="6"/>
      <c r="J24" s="6"/>
      <c r="K24" s="6"/>
    </row>
    <row r="25" ht="57" spans="1:11">
      <c r="A25" s="6" t="s">
        <v>276</v>
      </c>
      <c r="B25" s="41" t="str">
        <f>_xlfn.TEXTJOIN(CHAR(10),,Scenario!$A$10,Scenario!$C$10)</f>
        <v>TS001
Validate the working of 'Register an account' functionality</v>
      </c>
      <c r="C25" s="6" t="s">
        <v>277</v>
      </c>
      <c r="D25" s="8" t="s">
        <v>251</v>
      </c>
      <c r="E25" s="8" t="s">
        <v>269</v>
      </c>
      <c r="F25" s="6" t="s">
        <v>278</v>
      </c>
      <c r="G25" s="8" t="s">
        <v>275</v>
      </c>
      <c r="H25" s="8"/>
      <c r="I25" s="6"/>
      <c r="J25" s="6"/>
      <c r="K25" s="6"/>
    </row>
    <row r="26" ht="57" spans="1:11">
      <c r="A26" s="6" t="s">
        <v>279</v>
      </c>
      <c r="B26" s="41" t="str">
        <f>_xlfn.TEXTJOIN(CHAR(10),,Scenario!$A$10,Scenario!$C$10)</f>
        <v>TS001
Validate the working of 'Register an account' functionality</v>
      </c>
      <c r="C26" s="6" t="s">
        <v>280</v>
      </c>
      <c r="D26" s="8" t="s">
        <v>251</v>
      </c>
      <c r="E26" s="8" t="s">
        <v>269</v>
      </c>
      <c r="F26" s="6" t="s">
        <v>281</v>
      </c>
      <c r="G26" s="8" t="s">
        <v>282</v>
      </c>
      <c r="H26" s="8"/>
      <c r="I26" s="6"/>
      <c r="J26" s="6"/>
      <c r="K26" s="6"/>
    </row>
    <row r="27" ht="57" spans="1:11">
      <c r="A27" s="6" t="s">
        <v>283</v>
      </c>
      <c r="B27" s="41" t="str">
        <f>_xlfn.TEXTJOIN(CHAR(10),,Scenario!$A$10,Scenario!$C$10)</f>
        <v>TS001
Validate the working of 'Register an account' functionality</v>
      </c>
      <c r="C27" s="6" t="s">
        <v>284</v>
      </c>
      <c r="D27" s="8" t="s">
        <v>251</v>
      </c>
      <c r="E27" s="8" t="s">
        <v>265</v>
      </c>
      <c r="F27" s="6" t="s">
        <v>173</v>
      </c>
      <c r="G27" s="8" t="s">
        <v>285</v>
      </c>
      <c r="H27" s="8"/>
      <c r="I27" s="6"/>
      <c r="J27" s="6"/>
      <c r="K27" s="6"/>
    </row>
    <row r="28" ht="57" spans="1:11">
      <c r="A28" s="6" t="s">
        <v>286</v>
      </c>
      <c r="B28" s="41" t="str">
        <f>_xlfn.TEXTJOIN(CHAR(10),,Scenario!$A$10,Scenario!$C$10)</f>
        <v>TS001
Validate the working of 'Register an account' functionality</v>
      </c>
      <c r="C28" s="6" t="s">
        <v>287</v>
      </c>
      <c r="D28" s="8" t="s">
        <v>251</v>
      </c>
      <c r="E28" s="8" t="s">
        <v>288</v>
      </c>
      <c r="F28" s="6" t="s">
        <v>289</v>
      </c>
      <c r="G28" s="8" t="s">
        <v>290</v>
      </c>
      <c r="H28" s="8"/>
      <c r="I28" s="6"/>
      <c r="J28" s="6"/>
      <c r="K28" s="6"/>
    </row>
    <row r="29" ht="57" spans="1:11">
      <c r="A29" s="6" t="s">
        <v>291</v>
      </c>
      <c r="B29" s="41" t="str">
        <f>_xlfn.TEXTJOIN(CHAR(10),,Scenario!$A$10,Scenario!$C$10)</f>
        <v>TS001
Validate the working of 'Register an account' functionality</v>
      </c>
      <c r="C29" s="6" t="s">
        <v>292</v>
      </c>
      <c r="D29" s="8" t="s">
        <v>251</v>
      </c>
      <c r="E29" s="8" t="s">
        <v>288</v>
      </c>
      <c r="F29" s="6" t="s">
        <v>293</v>
      </c>
      <c r="G29" s="8" t="s">
        <v>294</v>
      </c>
      <c r="H29" s="8"/>
      <c r="I29" s="6"/>
      <c r="J29" s="6"/>
      <c r="K29" s="6"/>
    </row>
    <row r="30" ht="57" spans="1:11">
      <c r="A30" s="6" t="s">
        <v>295</v>
      </c>
      <c r="B30" s="41" t="str">
        <f>_xlfn.TEXTJOIN(CHAR(10),,Scenario!$A$10,Scenario!$C$10)</f>
        <v>TS001
Validate the working of 'Register an account' functionality</v>
      </c>
      <c r="C30" s="6" t="s">
        <v>296</v>
      </c>
      <c r="D30" s="8" t="s">
        <v>251</v>
      </c>
      <c r="E30" s="8" t="s">
        <v>288</v>
      </c>
      <c r="F30" s="6" t="s">
        <v>297</v>
      </c>
      <c r="G30" s="8" t="s">
        <v>298</v>
      </c>
      <c r="H30" s="8"/>
      <c r="I30" s="6"/>
      <c r="J30" s="6"/>
      <c r="K30" s="6"/>
    </row>
    <row r="31" ht="57" spans="1:11">
      <c r="A31" s="6" t="s">
        <v>299</v>
      </c>
      <c r="B31" s="41" t="str">
        <f>_xlfn.TEXTJOIN(CHAR(10),,Scenario!$A$10,Scenario!$C$10)</f>
        <v>TS001
Validate the working of 'Register an account' functionality</v>
      </c>
      <c r="C31" s="6" t="s">
        <v>300</v>
      </c>
      <c r="D31" s="8" t="s">
        <v>251</v>
      </c>
      <c r="E31" s="8" t="s">
        <v>288</v>
      </c>
      <c r="F31" s="6" t="s">
        <v>301</v>
      </c>
      <c r="G31" s="8" t="s">
        <v>302</v>
      </c>
      <c r="H31" s="8"/>
      <c r="I31" s="6"/>
      <c r="J31" s="6"/>
      <c r="K31" s="6"/>
    </row>
    <row r="32" ht="42.75" spans="1:11">
      <c r="A32" s="6" t="s">
        <v>303</v>
      </c>
      <c r="B32" s="41" t="str">
        <f>_xlfn.TEXTJOIN(CHAR(10),,Scenario!$A$10,Scenario!$C$10)</f>
        <v>TS001
Validate the working of 'Register an account' functionality</v>
      </c>
      <c r="C32" s="6" t="s">
        <v>304</v>
      </c>
      <c r="D32" s="8" t="s">
        <v>251</v>
      </c>
      <c r="E32" s="8" t="s">
        <v>305</v>
      </c>
      <c r="F32" s="6" t="s">
        <v>306</v>
      </c>
      <c r="G32" s="8" t="s">
        <v>307</v>
      </c>
      <c r="H32" s="8"/>
      <c r="I32" s="6"/>
      <c r="J32" s="6"/>
      <c r="K32" s="6"/>
    </row>
    <row r="33" ht="42.75" spans="1:11">
      <c r="A33" s="6" t="s">
        <v>308</v>
      </c>
      <c r="B33" s="41" t="str">
        <f>_xlfn.TEXTJOIN(CHAR(10),,Scenario!$A$10,Scenario!$C$10)</f>
        <v>TS001
Validate the working of 'Register an account' functionality</v>
      </c>
      <c r="C33" s="6" t="s">
        <v>309</v>
      </c>
      <c r="D33" s="8" t="s">
        <v>251</v>
      </c>
      <c r="E33" s="8" t="s">
        <v>310</v>
      </c>
      <c r="F33" s="6" t="s">
        <v>173</v>
      </c>
      <c r="G33" s="8" t="s">
        <v>311</v>
      </c>
      <c r="H33" s="8"/>
      <c r="I33" s="6"/>
      <c r="J33" s="6"/>
      <c r="K33" s="6"/>
    </row>
    <row r="34" ht="42.75" spans="1:11">
      <c r="A34" s="6" t="s">
        <v>312</v>
      </c>
      <c r="B34" s="41" t="str">
        <f>_xlfn.TEXTJOIN(CHAR(10),,Scenario!$A$10,Scenario!$C$10)</f>
        <v>TS001
Validate the working of 'Register an account' functionality</v>
      </c>
      <c r="C34" s="6" t="s">
        <v>313</v>
      </c>
      <c r="D34" s="8" t="s">
        <v>251</v>
      </c>
      <c r="E34" s="8" t="s">
        <v>305</v>
      </c>
      <c r="F34" s="6" t="s">
        <v>314</v>
      </c>
      <c r="G34" s="8" t="s">
        <v>315</v>
      </c>
      <c r="H34" s="8"/>
      <c r="I34" s="6"/>
      <c r="J34" s="6"/>
      <c r="K34" s="6"/>
    </row>
    <row r="35" ht="42.75" spans="1:11">
      <c r="A35" s="6" t="s">
        <v>316</v>
      </c>
      <c r="B35" s="41" t="str">
        <f>_xlfn.TEXTJOIN(CHAR(10),,Scenario!$A$10,Scenario!$C$10)</f>
        <v>TS001
Validate the working of 'Register an account' functionality</v>
      </c>
      <c r="C35" s="6" t="s">
        <v>317</v>
      </c>
      <c r="D35" s="8" t="s">
        <v>251</v>
      </c>
      <c r="E35" s="8" t="s">
        <v>305</v>
      </c>
      <c r="F35" s="6" t="s">
        <v>318</v>
      </c>
      <c r="G35" s="8" t="s">
        <v>319</v>
      </c>
      <c r="H35" s="8"/>
      <c r="I35" s="6"/>
      <c r="J35" s="6"/>
      <c r="K35" s="6"/>
    </row>
    <row r="36" ht="42.75" spans="1:11">
      <c r="A36" s="6" t="s">
        <v>320</v>
      </c>
      <c r="B36" s="41" t="str">
        <f>_xlfn.TEXTJOIN(CHAR(10),,Scenario!$A$10,Scenario!$C$10)</f>
        <v>TS001
Validate the working of 'Register an account' functionality</v>
      </c>
      <c r="C36" s="6" t="s">
        <v>321</v>
      </c>
      <c r="D36" s="8" t="s">
        <v>251</v>
      </c>
      <c r="E36" s="8" t="s">
        <v>305</v>
      </c>
      <c r="F36" s="6" t="s">
        <v>322</v>
      </c>
      <c r="G36" s="8" t="s">
        <v>323</v>
      </c>
      <c r="H36" s="8"/>
      <c r="I36" s="6"/>
      <c r="J36" s="6"/>
      <c r="K36" s="6"/>
    </row>
    <row r="37" ht="28.5" spans="1:11">
      <c r="A37" s="6" t="s">
        <v>324</v>
      </c>
      <c r="B37" s="41" t="str">
        <f>_xlfn.TEXTJOIN(CHAR(10),,Scenario!$A$10,Scenario!$C$10)</f>
        <v>TS001
Validate the working of 'Register an account' functionality</v>
      </c>
      <c r="C37" s="6" t="s">
        <v>325</v>
      </c>
      <c r="D37" s="8" t="s">
        <v>251</v>
      </c>
      <c r="E37" s="8" t="s">
        <v>326</v>
      </c>
      <c r="F37" s="6" t="s">
        <v>173</v>
      </c>
      <c r="G37" s="8" t="s">
        <v>327</v>
      </c>
      <c r="H37" s="8"/>
      <c r="I37" s="6"/>
      <c r="J37" s="6"/>
      <c r="K37" s="6"/>
    </row>
    <row r="38" ht="28.5" spans="1:11">
      <c r="A38" s="6" t="s">
        <v>328</v>
      </c>
      <c r="B38" s="41" t="str">
        <f>_xlfn.TEXTJOIN(CHAR(10),,Scenario!$A$10,Scenario!$C$10)</f>
        <v>TS001
Validate the working of 'Register an account' functionality</v>
      </c>
      <c r="C38" s="6" t="s">
        <v>329</v>
      </c>
      <c r="D38" s="8" t="s">
        <v>251</v>
      </c>
      <c r="E38" s="8" t="s">
        <v>330</v>
      </c>
      <c r="F38" s="6" t="s">
        <v>173</v>
      </c>
      <c r="G38" s="8" t="s">
        <v>327</v>
      </c>
      <c r="H38" s="8"/>
      <c r="I38" s="6"/>
      <c r="J38" s="6"/>
      <c r="K38" s="6"/>
    </row>
    <row r="39" ht="28.5" spans="1:11">
      <c r="A39" s="6" t="s">
        <v>331</v>
      </c>
      <c r="B39" s="41" t="str">
        <f>_xlfn.TEXTJOIN(CHAR(10),,Scenario!$A$10,Scenario!$C$10)</f>
        <v>TS001
Validate the working of 'Register an account' functionality</v>
      </c>
      <c r="C39" s="6" t="s">
        <v>332</v>
      </c>
      <c r="D39" s="8" t="s">
        <v>251</v>
      </c>
      <c r="E39" s="8" t="s">
        <v>333</v>
      </c>
      <c r="F39" s="6" t="s">
        <v>173</v>
      </c>
      <c r="G39" s="8" t="s">
        <v>334</v>
      </c>
      <c r="H39" s="8"/>
      <c r="I39" s="6"/>
      <c r="J39" s="6"/>
      <c r="K39" s="6"/>
    </row>
    <row r="40" ht="42.75" spans="1:11">
      <c r="A40" s="6" t="s">
        <v>335</v>
      </c>
      <c r="B40" s="41" t="str">
        <f>_xlfn.TEXTJOIN(CHAR(10),,Scenario!$A$10,Scenario!$C$10)</f>
        <v>TS001
Validate the working of 'Register an account' functionality</v>
      </c>
      <c r="C40" s="6" t="s">
        <v>336</v>
      </c>
      <c r="D40" s="8" t="s">
        <v>251</v>
      </c>
      <c r="E40" s="8" t="s">
        <v>337</v>
      </c>
      <c r="F40" s="6" t="s">
        <v>173</v>
      </c>
      <c r="G40" s="8" t="s">
        <v>338</v>
      </c>
      <c r="H40" s="8"/>
      <c r="I40" s="6"/>
      <c r="J40" s="6"/>
      <c r="K40" s="6"/>
    </row>
    <row r="41" ht="28.5" spans="1:11">
      <c r="A41" s="6" t="s">
        <v>339</v>
      </c>
      <c r="B41" s="41" t="str">
        <f>_xlfn.TEXTJOIN(CHAR(10),,Scenario!$A$10,Scenario!$C$10)</f>
        <v>TS001
Validate the working of 'Register an account' functionality</v>
      </c>
      <c r="C41" s="6" t="s">
        <v>340</v>
      </c>
      <c r="D41" s="8" t="s">
        <v>251</v>
      </c>
      <c r="E41" s="8" t="s">
        <v>172</v>
      </c>
      <c r="F41" s="6" t="s">
        <v>173</v>
      </c>
      <c r="G41" s="8" t="s">
        <v>341</v>
      </c>
      <c r="H41" s="8"/>
      <c r="I41" s="6"/>
      <c r="J41" s="6"/>
      <c r="K41" s="6"/>
    </row>
    <row r="42" ht="42.75" spans="1:11">
      <c r="A42" s="6" t="s">
        <v>342</v>
      </c>
      <c r="B42" s="41" t="str">
        <f>_xlfn.TEXTJOIN(CHAR(10),,Scenario!$A$10,Scenario!$C$10)</f>
        <v>TS001
Validate the working of 'Register an account' functionality</v>
      </c>
      <c r="C42" s="6" t="s">
        <v>343</v>
      </c>
      <c r="D42" s="8" t="s">
        <v>251</v>
      </c>
      <c r="E42" s="8" t="s">
        <v>344</v>
      </c>
      <c r="F42" s="8" t="s">
        <v>345</v>
      </c>
      <c r="G42" s="8" t="s">
        <v>346</v>
      </c>
      <c r="H42" s="8"/>
      <c r="I42" s="6"/>
      <c r="J42" s="6"/>
      <c r="K42" s="6"/>
    </row>
    <row r="43" ht="57" spans="1:11">
      <c r="A43" s="6" t="s">
        <v>347</v>
      </c>
      <c r="B43" s="41" t="str">
        <f>_xlfn.TEXTJOIN(CHAR(10),,Scenario!$A$10,Scenario!$C$10)</f>
        <v>TS001
Validate the working of 'Register an account' functionality</v>
      </c>
      <c r="C43" s="6" t="s">
        <v>348</v>
      </c>
      <c r="D43" s="8" t="s">
        <v>193</v>
      </c>
      <c r="E43" s="8" t="s">
        <v>344</v>
      </c>
      <c r="F43" s="8" t="s">
        <v>349</v>
      </c>
      <c r="G43" s="8" t="s">
        <v>350</v>
      </c>
      <c r="H43" s="8"/>
      <c r="I43" s="6"/>
      <c r="J43" s="6"/>
      <c r="K43" s="6"/>
    </row>
    <row r="44" ht="42.75" spans="1:11">
      <c r="A44" s="6" t="s">
        <v>351</v>
      </c>
      <c r="B44" s="43" t="str">
        <f>_xlfn.TEXTJOIN(CHAR(10),,Scenario!A12,Scenario!C12)</f>
        <v>TS003
Validate the working of 'Logout' functionality</v>
      </c>
      <c r="C44" s="6" t="s">
        <v>352</v>
      </c>
      <c r="D44" s="6" t="s">
        <v>353</v>
      </c>
      <c r="E44" s="8" t="s">
        <v>354</v>
      </c>
      <c r="F44" s="6" t="s">
        <v>173</v>
      </c>
      <c r="G44" s="8" t="s">
        <v>355</v>
      </c>
      <c r="H44" s="8"/>
      <c r="I44" s="6"/>
      <c r="J44" s="6"/>
      <c r="K44" s="6"/>
    </row>
    <row r="45" ht="28.5" spans="1:11">
      <c r="A45" s="6" t="s">
        <v>356</v>
      </c>
      <c r="B45" s="43" t="str">
        <f>_xlfn.TEXTJOIN(CHAR(10),,Scenario!A13,Scenario!C13)</f>
        <v>TS004
Validate the working of 'Forgot Password' functionality</v>
      </c>
      <c r="C45" s="6" t="s">
        <v>357</v>
      </c>
      <c r="D45" s="8" t="s">
        <v>193</v>
      </c>
      <c r="E45" s="8" t="s">
        <v>358</v>
      </c>
      <c r="F45" s="6" t="s">
        <v>173</v>
      </c>
      <c r="G45" s="8" t="s">
        <v>359</v>
      </c>
      <c r="H45" s="8" t="s">
        <v>360</v>
      </c>
      <c r="I45" s="6"/>
      <c r="J45" s="6"/>
      <c r="K45" s="6"/>
    </row>
    <row r="46" ht="42.75" spans="1:11">
      <c r="A46" s="6" t="s">
        <v>361</v>
      </c>
      <c r="B46" s="41" t="str">
        <f>_xlfn.TEXTJOIN(CHAR(10),,Scenario!A13,Scenario!C13)</f>
        <v>TS004
Validate the working of 'Forgot Password' functionality</v>
      </c>
      <c r="C46" s="6" t="s">
        <v>362</v>
      </c>
      <c r="D46" s="8" t="s">
        <v>363</v>
      </c>
      <c r="E46" s="8" t="s">
        <v>172</v>
      </c>
      <c r="F46" s="6" t="s">
        <v>173</v>
      </c>
      <c r="G46" s="8" t="s">
        <v>364</v>
      </c>
      <c r="H46" s="8"/>
      <c r="I46" s="6"/>
      <c r="J46" s="6"/>
      <c r="K46" s="6"/>
    </row>
    <row r="47" ht="57" spans="1:11">
      <c r="A47" s="6" t="s">
        <v>365</v>
      </c>
      <c r="B47" s="41" t="str">
        <f>_xlfn.TEXTJOIN(CHAR(10),,Scenario!A13,Scenario!C13)</f>
        <v>TS004
Validate the working of 'Forgot Password' functionality</v>
      </c>
      <c r="C47" s="6" t="s">
        <v>366</v>
      </c>
      <c r="D47" s="8" t="s">
        <v>363</v>
      </c>
      <c r="E47" s="8" t="s">
        <v>367</v>
      </c>
      <c r="F47" s="6" t="s">
        <v>200</v>
      </c>
      <c r="G47" s="8" t="s">
        <v>368</v>
      </c>
      <c r="H47" s="8"/>
      <c r="I47" s="6"/>
      <c r="J47" s="6"/>
      <c r="K47" s="6"/>
    </row>
    <row r="48" ht="57" spans="1:11">
      <c r="A48" s="6" t="s">
        <v>369</v>
      </c>
      <c r="B48" s="41" t="str">
        <f>_xlfn.TEXTJOIN(CHAR(10),,Scenario!A13,Scenario!C13)</f>
        <v>TS004
Validate the working of 'Forgot Password' functionality</v>
      </c>
      <c r="C48" s="6" t="s">
        <v>370</v>
      </c>
      <c r="D48" s="8" t="s">
        <v>363</v>
      </c>
      <c r="E48" s="8" t="s">
        <v>367</v>
      </c>
      <c r="F48" s="6" t="s">
        <v>371</v>
      </c>
      <c r="G48" s="8" t="s">
        <v>372</v>
      </c>
      <c r="H48" s="8"/>
      <c r="I48" s="6"/>
      <c r="J48" s="6"/>
      <c r="K48" s="6"/>
    </row>
    <row r="49" ht="28.5" spans="1:11">
      <c r="A49" s="6" t="s">
        <v>373</v>
      </c>
      <c r="B49" s="41" t="str">
        <f>_xlfn.TEXTJOIN(CHAR(10),,Scenario!A13,Scenario!C13)</f>
        <v>TS004
Validate the working of 'Forgot Password' functionality</v>
      </c>
      <c r="C49" s="6" t="s">
        <v>374</v>
      </c>
      <c r="D49" s="8" t="s">
        <v>363</v>
      </c>
      <c r="E49" s="8" t="s">
        <v>375</v>
      </c>
      <c r="F49" s="6" t="s">
        <v>173</v>
      </c>
      <c r="G49" s="8" t="s">
        <v>376</v>
      </c>
      <c r="H49" s="8"/>
      <c r="I49" s="6"/>
      <c r="J49" s="6"/>
      <c r="K49" s="6"/>
    </row>
    <row r="50" ht="57" spans="1:11">
      <c r="A50" s="6" t="s">
        <v>377</v>
      </c>
      <c r="B50" s="41" t="str">
        <f>_xlfn.TEXTJOIN(CHAR(10),,Scenario!A13,Scenario!C13)</f>
        <v>TS004
Validate the working of 'Forgot Password' functionality</v>
      </c>
      <c r="C50" s="6" t="s">
        <v>378</v>
      </c>
      <c r="D50" s="8" t="s">
        <v>363</v>
      </c>
      <c r="E50" s="8" t="s">
        <v>367</v>
      </c>
      <c r="F50" s="6" t="s">
        <v>379</v>
      </c>
      <c r="G50" s="8" t="s">
        <v>380</v>
      </c>
      <c r="H50" s="8"/>
      <c r="I50" s="6"/>
      <c r="J50" s="6"/>
      <c r="K50" s="6"/>
    </row>
    <row r="51" ht="28.5" spans="1:11">
      <c r="A51" s="6" t="s">
        <v>381</v>
      </c>
      <c r="B51" s="41" t="str">
        <f>_xlfn.TEXTJOIN(CHAR(10),,Scenario!A13,Scenario!C13)</f>
        <v>TS004
Validate the working of 'Forgot Password' functionality</v>
      </c>
      <c r="C51" s="6" t="s">
        <v>382</v>
      </c>
      <c r="D51" s="8" t="s">
        <v>363</v>
      </c>
      <c r="E51" s="8" t="s">
        <v>383</v>
      </c>
      <c r="F51" s="6" t="s">
        <v>173</v>
      </c>
      <c r="G51" s="8" t="s">
        <v>384</v>
      </c>
      <c r="H51" s="8"/>
      <c r="I51" s="6"/>
      <c r="J51" s="6"/>
      <c r="K51" s="6"/>
    </row>
  </sheetData>
  <hyperlinks>
    <hyperlink ref="B2" location="Scenario!A1" display="=TEXTJOIN(CHAR(10),,Scenario!A11,Scenario!C11)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22"/>
  <sheetViews>
    <sheetView tabSelected="1" zoomScale="70" zoomScaleNormal="70" workbookViewId="0">
      <pane ySplit="1" topLeftCell="A95" activePane="bottomLeft" state="frozen"/>
      <selection/>
      <selection pane="bottomLeft" activeCell="F105" sqref="F105"/>
    </sheetView>
  </sheetViews>
  <sheetFormatPr defaultColWidth="9" defaultRowHeight="14.25"/>
  <cols>
    <col min="1" max="1" width="13.125" customWidth="1"/>
    <col min="2" max="2" width="59.75" style="36" customWidth="1"/>
    <col min="3" max="3" width="64" style="37" customWidth="1"/>
    <col min="4" max="4" width="36.25" style="37" customWidth="1"/>
    <col min="5" max="5" width="29.125" customWidth="1"/>
    <col min="6" max="6" width="52.875" customWidth="1"/>
    <col min="7" max="7" width="42.625" style="37" customWidth="1"/>
    <col min="8" max="8" width="39.5" customWidth="1"/>
    <col min="9" max="9" width="7.75" customWidth="1"/>
    <col min="10" max="10" width="7.125" customWidth="1"/>
    <col min="11" max="11" width="31.125" customWidth="1"/>
  </cols>
  <sheetData>
    <row r="1" ht="15" spans="1:11">
      <c r="A1" s="4" t="s">
        <v>160</v>
      </c>
      <c r="B1" s="5" t="s">
        <v>161</v>
      </c>
      <c r="C1" s="5" t="s">
        <v>162</v>
      </c>
      <c r="D1" s="5" t="s">
        <v>163</v>
      </c>
      <c r="E1" s="5" t="s">
        <v>164</v>
      </c>
      <c r="F1" s="4" t="s">
        <v>165</v>
      </c>
      <c r="G1" s="5" t="s">
        <v>166</v>
      </c>
      <c r="H1" s="5" t="s">
        <v>24</v>
      </c>
      <c r="I1" s="4" t="s">
        <v>26</v>
      </c>
      <c r="J1" s="4" t="s">
        <v>167</v>
      </c>
      <c r="K1" s="4" t="s">
        <v>168</v>
      </c>
    </row>
    <row r="2" ht="171" spans="1:11">
      <c r="A2" s="32" t="s">
        <v>385</v>
      </c>
      <c r="B2" s="38" t="str">
        <f>_xlfn.TEXTJOIN(CHAR(10),,Scenario!$A$22,Scenario!$C$22)</f>
        <v>TS013
Validate the working of 'My Account' functionality</v>
      </c>
      <c r="C2" s="33" t="s">
        <v>386</v>
      </c>
      <c r="D2" s="33" t="s">
        <v>387</v>
      </c>
      <c r="E2" s="33" t="s">
        <v>388</v>
      </c>
      <c r="F2" s="32" t="s">
        <v>173</v>
      </c>
      <c r="G2" s="33" t="s">
        <v>389</v>
      </c>
      <c r="H2" s="32"/>
      <c r="I2" s="32"/>
      <c r="J2" s="32"/>
      <c r="K2" s="32"/>
    </row>
    <row r="3" ht="28.5" spans="1:11">
      <c r="A3" s="32" t="s">
        <v>390</v>
      </c>
      <c r="B3" s="38" t="str">
        <f>_xlfn.TEXTJOIN(CHAR(10),,Scenario!$A$22,Scenario!$C$22)</f>
        <v>TS013
Validate the working of 'My Account' functionality</v>
      </c>
      <c r="C3" s="33" t="s">
        <v>391</v>
      </c>
      <c r="D3" s="33" t="s">
        <v>392</v>
      </c>
      <c r="E3" s="33" t="s">
        <v>393</v>
      </c>
      <c r="F3" s="32" t="s">
        <v>173</v>
      </c>
      <c r="G3" s="33" t="s">
        <v>394</v>
      </c>
      <c r="H3" s="32"/>
      <c r="I3" s="32"/>
      <c r="J3" s="32"/>
      <c r="K3" s="32"/>
    </row>
    <row r="4" ht="42.75" spans="1:11">
      <c r="A4" s="32" t="s">
        <v>395</v>
      </c>
      <c r="B4" s="38" t="str">
        <f>_xlfn.TEXTJOIN(CHAR(10),,Scenario!$A$23,Scenario!$C$23)</f>
        <v>TS014
Validate the working of 'My Account &gt; Account Information' functionality</v>
      </c>
      <c r="C4" s="33" t="s">
        <v>396</v>
      </c>
      <c r="D4" s="33" t="s">
        <v>397</v>
      </c>
      <c r="E4" s="33" t="s">
        <v>398</v>
      </c>
      <c r="F4" s="32" t="s">
        <v>173</v>
      </c>
      <c r="G4" s="33" t="s">
        <v>399</v>
      </c>
      <c r="H4" s="32"/>
      <c r="I4" s="32"/>
      <c r="J4" s="32"/>
      <c r="K4" s="32"/>
    </row>
    <row r="5" ht="42.75" spans="1:11">
      <c r="A5" s="32" t="s">
        <v>400</v>
      </c>
      <c r="B5" s="38" t="str">
        <f>_xlfn.TEXTJOIN(CHAR(10),,Scenario!$A$23,Scenario!$C$23)</f>
        <v>TS014
Validate the working of 'My Account &gt; Account Information' functionality</v>
      </c>
      <c r="C5" s="33" t="s">
        <v>401</v>
      </c>
      <c r="D5" s="33" t="s">
        <v>392</v>
      </c>
      <c r="E5" s="33" t="s">
        <v>402</v>
      </c>
      <c r="F5" s="32" t="s">
        <v>173</v>
      </c>
      <c r="G5" s="33" t="s">
        <v>399</v>
      </c>
      <c r="H5" s="32"/>
      <c r="I5" s="32"/>
      <c r="J5" s="32"/>
      <c r="K5" s="32"/>
    </row>
    <row r="6" ht="57" spans="1:11">
      <c r="A6" s="32" t="s">
        <v>403</v>
      </c>
      <c r="B6" s="38" t="str">
        <f>_xlfn.TEXTJOIN(CHAR(10),,Scenario!$A$23,Scenario!$C$23)</f>
        <v>TS014
Validate the working of 'My Account &gt; Account Information' functionality</v>
      </c>
      <c r="C6" s="33" t="s">
        <v>404</v>
      </c>
      <c r="D6" s="33" t="s">
        <v>405</v>
      </c>
      <c r="E6" s="32" t="s">
        <v>393</v>
      </c>
      <c r="F6" s="32" t="s">
        <v>173</v>
      </c>
      <c r="G6" s="33" t="s">
        <v>406</v>
      </c>
      <c r="H6" s="32"/>
      <c r="I6" s="32"/>
      <c r="J6" s="32"/>
      <c r="K6" s="32"/>
    </row>
    <row r="7" ht="28.5" spans="1:11">
      <c r="A7" s="32" t="s">
        <v>407</v>
      </c>
      <c r="B7" s="38" t="str">
        <f>_xlfn.TEXTJOIN(CHAR(10),,Scenario!$A$23,Scenario!$C$23)</f>
        <v>TS014
Validate the working of 'My Account &gt; Account Information' functionality</v>
      </c>
      <c r="C7" s="33" t="s">
        <v>408</v>
      </c>
      <c r="D7" s="33" t="s">
        <v>405</v>
      </c>
      <c r="E7" s="32" t="s">
        <v>393</v>
      </c>
      <c r="F7" s="32" t="s">
        <v>173</v>
      </c>
      <c r="G7" s="33" t="s">
        <v>409</v>
      </c>
      <c r="H7" s="32"/>
      <c r="I7" s="32"/>
      <c r="J7" s="32"/>
      <c r="K7" s="32"/>
    </row>
    <row r="8" ht="28.5" spans="1:11">
      <c r="A8" s="32" t="s">
        <v>410</v>
      </c>
      <c r="B8" s="38" t="str">
        <f>_xlfn.TEXTJOIN(CHAR(10),,Scenario!$A$23,Scenario!$C$23)</f>
        <v>TS014
Validate the working of 'My Account &gt; Account Information' functionality</v>
      </c>
      <c r="C8" s="33" t="s">
        <v>411</v>
      </c>
      <c r="D8" s="33" t="s">
        <v>405</v>
      </c>
      <c r="E8" s="32" t="s">
        <v>393</v>
      </c>
      <c r="F8" s="32" t="s">
        <v>173</v>
      </c>
      <c r="G8" s="33" t="s">
        <v>412</v>
      </c>
      <c r="H8" s="32"/>
      <c r="I8" s="32"/>
      <c r="J8" s="32"/>
      <c r="K8" s="32"/>
    </row>
    <row r="9" ht="57" spans="1:11">
      <c r="A9" s="32" t="s">
        <v>413</v>
      </c>
      <c r="B9" s="38" t="str">
        <f>_xlfn.TEXTJOIN(CHAR(10),,Scenario!$A$23,Scenario!$C$23)</f>
        <v>TS014
Validate the working of 'My Account &gt; Account Information' functionality</v>
      </c>
      <c r="C9" s="33" t="s">
        <v>414</v>
      </c>
      <c r="D9" s="33" t="s">
        <v>405</v>
      </c>
      <c r="E9" s="33" t="s">
        <v>415</v>
      </c>
      <c r="F9" s="32" t="s">
        <v>416</v>
      </c>
      <c r="G9" s="33" t="s">
        <v>417</v>
      </c>
      <c r="H9" s="32"/>
      <c r="I9" s="32"/>
      <c r="J9" s="32"/>
      <c r="K9" s="32"/>
    </row>
    <row r="10" ht="57" spans="1:11">
      <c r="A10" s="32" t="s">
        <v>418</v>
      </c>
      <c r="B10" s="38" t="str">
        <f>_xlfn.TEXTJOIN(CHAR(10),,Scenario!$A$23,Scenario!$C$23)</f>
        <v>TS014
Validate the working of 'My Account &gt; Account Information' functionality</v>
      </c>
      <c r="C10" s="33" t="s">
        <v>419</v>
      </c>
      <c r="D10" s="33" t="s">
        <v>405</v>
      </c>
      <c r="E10" s="33" t="s">
        <v>420</v>
      </c>
      <c r="F10" s="32" t="s">
        <v>421</v>
      </c>
      <c r="G10" s="33" t="s">
        <v>422</v>
      </c>
      <c r="H10" s="32"/>
      <c r="I10" s="32"/>
      <c r="J10" s="32"/>
      <c r="K10" s="32"/>
    </row>
    <row r="11" ht="57" spans="1:11">
      <c r="A11" s="32" t="s">
        <v>423</v>
      </c>
      <c r="B11" s="38" t="str">
        <f>_xlfn.TEXTJOIN(CHAR(10),,Scenario!$A$23,Scenario!$C$23)</f>
        <v>TS014
Validate the working of 'My Account &gt; Account Information' functionality</v>
      </c>
      <c r="C11" s="33" t="s">
        <v>424</v>
      </c>
      <c r="D11" s="33" t="s">
        <v>405</v>
      </c>
      <c r="E11" s="33" t="s">
        <v>420</v>
      </c>
      <c r="F11" s="32" t="s">
        <v>425</v>
      </c>
      <c r="G11" s="33" t="s">
        <v>426</v>
      </c>
      <c r="H11" s="32"/>
      <c r="I11" s="32"/>
      <c r="J11" s="32"/>
      <c r="K11" s="32"/>
    </row>
    <row r="12" ht="57" spans="1:11">
      <c r="A12" s="32" t="s">
        <v>427</v>
      </c>
      <c r="B12" s="38" t="str">
        <f>_xlfn.TEXTJOIN(CHAR(10),,Scenario!$A$23,Scenario!$C$23)</f>
        <v>TS014
Validate the working of 'My Account &gt; Account Information' functionality</v>
      </c>
      <c r="C12" s="33" t="s">
        <v>428</v>
      </c>
      <c r="D12" s="33" t="s">
        <v>405</v>
      </c>
      <c r="E12" s="33" t="s">
        <v>420</v>
      </c>
      <c r="F12" s="32" t="s">
        <v>429</v>
      </c>
      <c r="G12" s="33" t="s">
        <v>430</v>
      </c>
      <c r="H12" s="32"/>
      <c r="I12" s="32"/>
      <c r="J12" s="32"/>
      <c r="K12" s="32"/>
    </row>
    <row r="13" ht="57" spans="1:11">
      <c r="A13" s="32" t="s">
        <v>431</v>
      </c>
      <c r="B13" s="38" t="str">
        <f>_xlfn.TEXTJOIN(CHAR(10),,Scenario!$A$23,Scenario!$C$23)</f>
        <v>TS014
Validate the working of 'My Account &gt; Account Information' functionality</v>
      </c>
      <c r="C13" s="33" t="s">
        <v>432</v>
      </c>
      <c r="D13" s="33" t="s">
        <v>405</v>
      </c>
      <c r="E13" s="33" t="s">
        <v>433</v>
      </c>
      <c r="F13" s="32" t="s">
        <v>434</v>
      </c>
      <c r="G13" s="33" t="s">
        <v>435</v>
      </c>
      <c r="H13" s="32"/>
      <c r="I13" s="32"/>
      <c r="J13" s="32"/>
      <c r="K13" s="32"/>
    </row>
    <row r="14" ht="57" spans="1:11">
      <c r="A14" s="32" t="s">
        <v>436</v>
      </c>
      <c r="B14" s="38" t="str">
        <f>_xlfn.TEXTJOIN(CHAR(10),,Scenario!$A$23,Scenario!$C$23)</f>
        <v>TS014
Validate the working of 'My Account &gt; Account Information' functionality</v>
      </c>
      <c r="C14" s="33" t="s">
        <v>437</v>
      </c>
      <c r="D14" s="33" t="s">
        <v>405</v>
      </c>
      <c r="E14" s="33" t="s">
        <v>433</v>
      </c>
      <c r="F14" s="32" t="s">
        <v>438</v>
      </c>
      <c r="G14" s="33" t="s">
        <v>439</v>
      </c>
      <c r="H14" s="32"/>
      <c r="I14" s="32"/>
      <c r="J14" s="32"/>
      <c r="K14" s="32"/>
    </row>
    <row r="15" ht="57" spans="1:11">
      <c r="A15" s="32" t="s">
        <v>440</v>
      </c>
      <c r="B15" s="38" t="str">
        <f>_xlfn.TEXTJOIN(CHAR(10),,Scenario!$A$23,Scenario!$C$23)</f>
        <v>TS014
Validate the working of 'My Account &gt; Account Information' functionality</v>
      </c>
      <c r="C15" s="33" t="s">
        <v>441</v>
      </c>
      <c r="D15" s="33" t="s">
        <v>405</v>
      </c>
      <c r="E15" s="33" t="s">
        <v>433</v>
      </c>
      <c r="F15" s="32" t="s">
        <v>442</v>
      </c>
      <c r="G15" s="33" t="s">
        <v>443</v>
      </c>
      <c r="H15" s="32"/>
      <c r="I15" s="32"/>
      <c r="J15" s="32"/>
      <c r="K15" s="32"/>
    </row>
    <row r="16" ht="57" spans="1:11">
      <c r="A16" s="32" t="s">
        <v>444</v>
      </c>
      <c r="B16" s="38" t="str">
        <f>_xlfn.TEXTJOIN(CHAR(10),,Scenario!$A$23,Scenario!$C$23)</f>
        <v>TS014
Validate the working of 'My Account &gt; Account Information' functionality</v>
      </c>
      <c r="C16" s="33" t="s">
        <v>445</v>
      </c>
      <c r="D16" s="33" t="s">
        <v>405</v>
      </c>
      <c r="E16" s="33" t="s">
        <v>446</v>
      </c>
      <c r="F16" s="32" t="s">
        <v>447</v>
      </c>
      <c r="G16" s="33" t="s">
        <v>448</v>
      </c>
      <c r="H16" s="32"/>
      <c r="I16" s="32"/>
      <c r="J16" s="32"/>
      <c r="K16" s="32"/>
    </row>
    <row r="17" ht="57" spans="1:11">
      <c r="A17" s="32" t="s">
        <v>449</v>
      </c>
      <c r="B17" s="38" t="str">
        <f>_xlfn.TEXTJOIN(CHAR(10),,Scenario!$A$23,Scenario!$C$23)</f>
        <v>TS014
Validate the working of 'My Account &gt; Account Information' functionality</v>
      </c>
      <c r="C17" s="33" t="s">
        <v>450</v>
      </c>
      <c r="D17" s="33" t="s">
        <v>405</v>
      </c>
      <c r="E17" s="33" t="s">
        <v>446</v>
      </c>
      <c r="F17" s="32" t="s">
        <v>451</v>
      </c>
      <c r="G17" s="33" t="s">
        <v>452</v>
      </c>
      <c r="H17" s="32"/>
      <c r="I17" s="32"/>
      <c r="J17" s="32"/>
      <c r="K17" s="32"/>
    </row>
    <row r="18" ht="57" spans="1:11">
      <c r="A18" s="32" t="s">
        <v>453</v>
      </c>
      <c r="B18" s="38" t="str">
        <f>_xlfn.TEXTJOIN(CHAR(10),,Scenario!$A$23,Scenario!$C$23)</f>
        <v>TS014
Validate the working of 'My Account &gt; Account Information' functionality</v>
      </c>
      <c r="C18" s="33" t="s">
        <v>454</v>
      </c>
      <c r="D18" s="33" t="s">
        <v>405</v>
      </c>
      <c r="E18" s="33" t="s">
        <v>446</v>
      </c>
      <c r="F18" s="32" t="s">
        <v>455</v>
      </c>
      <c r="G18" s="33" t="s">
        <v>452</v>
      </c>
      <c r="H18" s="32"/>
      <c r="I18" s="32"/>
      <c r="J18" s="32"/>
      <c r="K18" s="32"/>
    </row>
    <row r="19" ht="57" spans="1:11">
      <c r="A19" s="32" t="s">
        <v>456</v>
      </c>
      <c r="B19" s="38" t="str">
        <f>_xlfn.TEXTJOIN(CHAR(10),,Scenario!$A$23,Scenario!$C$23)</f>
        <v>TS014
Validate the working of 'My Account &gt; Account Information' functionality</v>
      </c>
      <c r="C19" s="33" t="s">
        <v>457</v>
      </c>
      <c r="D19" s="33" t="s">
        <v>405</v>
      </c>
      <c r="E19" s="33" t="s">
        <v>458</v>
      </c>
      <c r="F19" s="32" t="s">
        <v>421</v>
      </c>
      <c r="G19" s="33" t="s">
        <v>459</v>
      </c>
      <c r="H19" s="32"/>
      <c r="I19" s="32"/>
      <c r="J19" s="32"/>
      <c r="K19" s="32"/>
    </row>
    <row r="20" ht="28.5" spans="1:11">
      <c r="A20" s="32" t="s">
        <v>460</v>
      </c>
      <c r="B20" s="38" t="str">
        <f>_xlfn.TEXTJOIN(CHAR(10),,Scenario!$A$23,Scenario!$C$23)</f>
        <v>TS014
Validate the working of 'My Account &gt; Account Information' functionality</v>
      </c>
      <c r="C20" s="33" t="s">
        <v>461</v>
      </c>
      <c r="D20" s="33" t="s">
        <v>405</v>
      </c>
      <c r="E20" s="33" t="s">
        <v>462</v>
      </c>
      <c r="F20" s="32" t="s">
        <v>173</v>
      </c>
      <c r="G20" s="33" t="s">
        <v>463</v>
      </c>
      <c r="H20" s="32"/>
      <c r="I20" s="32"/>
      <c r="J20" s="32"/>
      <c r="K20" s="32"/>
    </row>
    <row r="21" ht="57" spans="1:11">
      <c r="A21" s="32" t="s">
        <v>464</v>
      </c>
      <c r="B21" s="38" t="str">
        <f>_xlfn.TEXTJOIN(CHAR(10),,Scenario!$A$23,Scenario!$C$23)</f>
        <v>TS014
Validate the working of 'My Account &gt; Account Information' functionality</v>
      </c>
      <c r="C21" s="33" t="s">
        <v>465</v>
      </c>
      <c r="D21" s="33" t="s">
        <v>405</v>
      </c>
      <c r="E21" s="33" t="s">
        <v>466</v>
      </c>
      <c r="F21" s="32" t="s">
        <v>467</v>
      </c>
      <c r="G21" s="33" t="s">
        <v>468</v>
      </c>
      <c r="H21" s="32"/>
      <c r="I21" s="32"/>
      <c r="J21" s="32"/>
      <c r="K21" s="32"/>
    </row>
    <row r="22" ht="57" spans="1:11">
      <c r="A22" s="32" t="s">
        <v>469</v>
      </c>
      <c r="B22" s="38" t="str">
        <f>_xlfn.TEXTJOIN(CHAR(10),,Scenario!$A$23,Scenario!$C$23)</f>
        <v>TS014
Validate the working of 'My Account &gt; Account Information' functionality</v>
      </c>
      <c r="C22" s="33" t="s">
        <v>470</v>
      </c>
      <c r="D22" s="33" t="s">
        <v>405</v>
      </c>
      <c r="E22" s="33" t="s">
        <v>471</v>
      </c>
      <c r="F22" s="33" t="s">
        <v>472</v>
      </c>
      <c r="G22" s="8" t="s">
        <v>473</v>
      </c>
      <c r="H22" s="32"/>
      <c r="I22" s="32"/>
      <c r="J22" s="32"/>
      <c r="K22" s="32"/>
    </row>
    <row r="23" ht="42.75" spans="1:11">
      <c r="A23" s="32" t="s">
        <v>474</v>
      </c>
      <c r="B23" s="38" t="str">
        <f>_xlfn.TEXTJOIN(CHAR(10),,Scenario!$A$24,Scenario!$C$24)</f>
        <v>TS015
Validate the working of 'My Account &gt; Change Password' functionality</v>
      </c>
      <c r="C23" s="33" t="s">
        <v>475</v>
      </c>
      <c r="D23" s="33" t="s">
        <v>405</v>
      </c>
      <c r="E23" s="33" t="s">
        <v>476</v>
      </c>
      <c r="F23" s="32" t="s">
        <v>173</v>
      </c>
      <c r="G23" s="33" t="s">
        <v>477</v>
      </c>
      <c r="H23" s="32"/>
      <c r="I23" s="32"/>
      <c r="J23" s="32"/>
      <c r="K23" s="32"/>
    </row>
    <row r="24" ht="28.5" spans="1:11">
      <c r="A24" s="32" t="s">
        <v>478</v>
      </c>
      <c r="B24" s="38" t="str">
        <f>_xlfn.TEXTJOIN(CHAR(10),,Scenario!$A$24,Scenario!$C$24)</f>
        <v>TS015
Validate the working of 'My Account &gt; Change Password' functionality</v>
      </c>
      <c r="C24" s="33" t="s">
        <v>479</v>
      </c>
      <c r="D24" s="33" t="s">
        <v>392</v>
      </c>
      <c r="E24" s="33" t="s">
        <v>480</v>
      </c>
      <c r="F24" s="32" t="s">
        <v>173</v>
      </c>
      <c r="G24" s="33" t="s">
        <v>477</v>
      </c>
      <c r="H24" s="32"/>
      <c r="I24" s="32"/>
      <c r="J24" s="32"/>
      <c r="K24" s="32"/>
    </row>
    <row r="25" ht="42.75" spans="1:11">
      <c r="A25" s="32" t="s">
        <v>481</v>
      </c>
      <c r="B25" s="38" t="str">
        <f>_xlfn.TEXTJOIN(CHAR(10),,Scenario!$A$24,Scenario!$C$24)</f>
        <v>TS015
Validate the working of 'My Account &gt; Change Password' functionality</v>
      </c>
      <c r="C25" s="33" t="s">
        <v>482</v>
      </c>
      <c r="D25" s="33" t="s">
        <v>483</v>
      </c>
      <c r="E25" s="32" t="s">
        <v>393</v>
      </c>
      <c r="F25" s="32" t="s">
        <v>173</v>
      </c>
      <c r="G25" s="33" t="s">
        <v>484</v>
      </c>
      <c r="H25" s="32"/>
      <c r="I25" s="32"/>
      <c r="J25" s="32"/>
      <c r="K25" s="32"/>
    </row>
    <row r="26" ht="57" spans="1:11">
      <c r="A26" s="32" t="s">
        <v>485</v>
      </c>
      <c r="B26" s="38" t="str">
        <f>_xlfn.TEXTJOIN(CHAR(10),,Scenario!$A$24,Scenario!$C$24)</f>
        <v>TS015
Validate the working of 'My Account &gt; Change Password' functionality</v>
      </c>
      <c r="C26" s="33" t="s">
        <v>486</v>
      </c>
      <c r="D26" s="33" t="s">
        <v>483</v>
      </c>
      <c r="E26" s="33" t="s">
        <v>487</v>
      </c>
      <c r="F26" s="32" t="s">
        <v>173</v>
      </c>
      <c r="G26" s="33" t="s">
        <v>488</v>
      </c>
      <c r="H26" s="32"/>
      <c r="I26" s="32"/>
      <c r="J26" s="32"/>
      <c r="K26" s="32"/>
    </row>
    <row r="27" ht="42.75" spans="1:11">
      <c r="A27" s="32" t="s">
        <v>489</v>
      </c>
      <c r="B27" s="38" t="str">
        <f>_xlfn.TEXTJOIN(CHAR(10),,Scenario!$A$24,Scenario!$C$24)</f>
        <v>TS015
Validate the working of 'My Account &gt; Change Password' functionality</v>
      </c>
      <c r="C27" s="33" t="s">
        <v>490</v>
      </c>
      <c r="D27" s="33" t="s">
        <v>483</v>
      </c>
      <c r="E27" s="33" t="s">
        <v>491</v>
      </c>
      <c r="F27" s="33" t="s">
        <v>492</v>
      </c>
      <c r="G27" s="33" t="s">
        <v>493</v>
      </c>
      <c r="H27" s="32"/>
      <c r="I27" s="32"/>
      <c r="J27" s="32"/>
      <c r="K27" s="32"/>
    </row>
    <row r="28" ht="42.75" spans="1:11">
      <c r="A28" s="32" t="s">
        <v>494</v>
      </c>
      <c r="B28" s="38" t="str">
        <f>_xlfn.TEXTJOIN(CHAR(10),,Scenario!$A$24,Scenario!$C$24)</f>
        <v>TS015
Validate the working of 'My Account &gt; Change Password' functionality</v>
      </c>
      <c r="C28" s="33" t="s">
        <v>495</v>
      </c>
      <c r="D28" s="33" t="s">
        <v>483</v>
      </c>
      <c r="E28" s="33" t="s">
        <v>491</v>
      </c>
      <c r="F28" s="33" t="s">
        <v>492</v>
      </c>
      <c r="G28" s="33" t="s">
        <v>496</v>
      </c>
      <c r="H28" s="32" t="s">
        <v>497</v>
      </c>
      <c r="I28" s="32"/>
      <c r="J28" s="32"/>
      <c r="K28" s="32"/>
    </row>
    <row r="29" ht="28.5" spans="1:11">
      <c r="A29" s="32" t="s">
        <v>498</v>
      </c>
      <c r="B29" s="38" t="str">
        <f>_xlfn.TEXTJOIN(CHAR(10),,Scenario!$A$24,Scenario!$C$24)</f>
        <v>TS015
Validate the working of 'My Account &gt; Change Password' functionality</v>
      </c>
      <c r="C29" s="33" t="s">
        <v>499</v>
      </c>
      <c r="D29" s="33" t="s">
        <v>483</v>
      </c>
      <c r="E29" s="33" t="s">
        <v>462</v>
      </c>
      <c r="F29" s="32" t="s">
        <v>173</v>
      </c>
      <c r="G29" s="33" t="s">
        <v>500</v>
      </c>
      <c r="H29" s="32"/>
      <c r="I29" s="32"/>
      <c r="J29" s="32"/>
      <c r="K29" s="32"/>
    </row>
    <row r="30" ht="28.5" spans="1:11">
      <c r="A30" s="32" t="s">
        <v>501</v>
      </c>
      <c r="B30" s="38" t="str">
        <f>_xlfn.TEXTJOIN(CHAR(10),,Scenario!$A$24,Scenario!$C$24)</f>
        <v>TS015
Validate the working of 'My Account &gt; Change Password' functionality</v>
      </c>
      <c r="C30" s="33" t="s">
        <v>502</v>
      </c>
      <c r="D30" s="33" t="s">
        <v>483</v>
      </c>
      <c r="E30" s="33" t="s">
        <v>462</v>
      </c>
      <c r="F30" s="32" t="s">
        <v>173</v>
      </c>
      <c r="G30" s="33" t="s">
        <v>503</v>
      </c>
      <c r="H30" s="32"/>
      <c r="I30" s="32"/>
      <c r="J30" s="32"/>
      <c r="K30" s="32"/>
    </row>
    <row r="31" ht="57" spans="1:11">
      <c r="A31" s="32" t="s">
        <v>504</v>
      </c>
      <c r="B31" s="38" t="str">
        <f>_xlfn.TEXTJOIN(CHAR(10),,Scenario!$A$24,Scenario!$C$24)</f>
        <v>TS015
Validate the working of 'My Account &gt; Change Password' functionality</v>
      </c>
      <c r="C31" s="33" t="s">
        <v>505</v>
      </c>
      <c r="D31" s="33" t="s">
        <v>483</v>
      </c>
      <c r="E31" s="33" t="s">
        <v>506</v>
      </c>
      <c r="F31" s="33" t="s">
        <v>492</v>
      </c>
      <c r="G31" s="33" t="s">
        <v>507</v>
      </c>
      <c r="H31" s="32"/>
      <c r="I31" s="32"/>
      <c r="J31" s="32"/>
      <c r="K31" s="32"/>
    </row>
    <row r="32" ht="57" spans="1:11">
      <c r="A32" s="32" t="s">
        <v>508</v>
      </c>
      <c r="B32" s="38" t="str">
        <f>_xlfn.TEXTJOIN(CHAR(10),,Scenario!$A$24,Scenario!$C$24)</f>
        <v>TS015
Validate the working of 'My Account &gt; Change Password' functionality</v>
      </c>
      <c r="C32" s="33" t="s">
        <v>509</v>
      </c>
      <c r="D32" s="33" t="s">
        <v>483</v>
      </c>
      <c r="E32" s="33" t="s">
        <v>506</v>
      </c>
      <c r="F32" s="33" t="s">
        <v>510</v>
      </c>
      <c r="G32" s="33" t="s">
        <v>511</v>
      </c>
      <c r="H32" s="32"/>
      <c r="I32" s="32"/>
      <c r="J32" s="32"/>
      <c r="K32" s="32"/>
    </row>
    <row r="33" ht="57" spans="1:11">
      <c r="A33" s="32" t="s">
        <v>512</v>
      </c>
      <c r="B33" s="38" t="str">
        <f>_xlfn.TEXTJOIN(CHAR(10),,Scenario!$A$24,Scenario!$C$24)</f>
        <v>TS015
Validate the working of 'My Account &gt; Change Password' functionality</v>
      </c>
      <c r="C33" s="33" t="s">
        <v>513</v>
      </c>
      <c r="D33" s="33" t="s">
        <v>483</v>
      </c>
      <c r="E33" s="33" t="s">
        <v>506</v>
      </c>
      <c r="F33" s="33" t="s">
        <v>492</v>
      </c>
      <c r="G33" s="33" t="s">
        <v>514</v>
      </c>
      <c r="H33" s="32"/>
      <c r="I33" s="32"/>
      <c r="J33" s="32"/>
      <c r="K33" s="32"/>
    </row>
    <row r="34" ht="57" spans="1:11">
      <c r="A34" s="32" t="s">
        <v>515</v>
      </c>
      <c r="B34" s="38" t="str">
        <f>_xlfn.TEXTJOIN(CHAR(10),,Scenario!$A$24,Scenario!$C$24)</f>
        <v>TS015
Validate the working of 'My Account &gt; Change Password' functionality</v>
      </c>
      <c r="C34" s="33" t="s">
        <v>516</v>
      </c>
      <c r="D34" s="33" t="s">
        <v>483</v>
      </c>
      <c r="E34" s="33" t="s">
        <v>506</v>
      </c>
      <c r="F34" s="33" t="s">
        <v>492</v>
      </c>
      <c r="G34" s="33" t="s">
        <v>514</v>
      </c>
      <c r="H34" s="32"/>
      <c r="I34" s="32"/>
      <c r="J34" s="32"/>
      <c r="K34" s="32"/>
    </row>
    <row r="35" ht="57" spans="1:11">
      <c r="A35" s="32" t="s">
        <v>517</v>
      </c>
      <c r="B35" s="38" t="str">
        <f>_xlfn.TEXTJOIN(CHAR(10),,Scenario!$A$24,Scenario!$C$24)</f>
        <v>TS015
Validate the working of 'My Account &gt; Change Password' functionality</v>
      </c>
      <c r="C35" s="33" t="s">
        <v>518</v>
      </c>
      <c r="D35" s="33" t="s">
        <v>483</v>
      </c>
      <c r="E35" s="33" t="s">
        <v>506</v>
      </c>
      <c r="F35" s="33" t="s">
        <v>519</v>
      </c>
      <c r="G35" s="33" t="s">
        <v>507</v>
      </c>
      <c r="H35" s="32"/>
      <c r="I35" s="32"/>
      <c r="J35" s="32"/>
      <c r="K35" s="32"/>
    </row>
    <row r="36" ht="57" spans="1:11">
      <c r="A36" s="32" t="s">
        <v>520</v>
      </c>
      <c r="B36" s="38" t="str">
        <f>_xlfn.TEXTJOIN(CHAR(10),,Scenario!$A$24,Scenario!$C$24)</f>
        <v>TS015
Validate the working of 'My Account &gt; Change Password' functionality</v>
      </c>
      <c r="C36" s="33" t="s">
        <v>521</v>
      </c>
      <c r="D36" s="33" t="s">
        <v>483</v>
      </c>
      <c r="E36" s="33" t="s">
        <v>506</v>
      </c>
      <c r="F36" s="33" t="s">
        <v>522</v>
      </c>
      <c r="G36" s="33" t="s">
        <v>523</v>
      </c>
      <c r="H36" s="32"/>
      <c r="I36" s="32"/>
      <c r="J36" s="32"/>
      <c r="K36" s="32"/>
    </row>
    <row r="37" ht="42.75" spans="1:11">
      <c r="A37" s="32" t="s">
        <v>524</v>
      </c>
      <c r="B37" s="38" t="str">
        <f>_xlfn.TEXTJOIN(CHAR(10),,Scenario!$A$24,Scenario!$C$24)</f>
        <v>TS015
Validate the working of 'My Account &gt; Change Password' functionality</v>
      </c>
      <c r="C37" s="33" t="s">
        <v>525</v>
      </c>
      <c r="D37" s="33" t="s">
        <v>526</v>
      </c>
      <c r="E37" s="33" t="s">
        <v>527</v>
      </c>
      <c r="F37" s="33" t="s">
        <v>528</v>
      </c>
      <c r="G37" s="33" t="s">
        <v>529</v>
      </c>
      <c r="H37" s="32"/>
      <c r="I37" s="32"/>
      <c r="J37" s="32"/>
      <c r="K37" s="32"/>
    </row>
    <row r="38" ht="57" spans="1:11">
      <c r="A38" s="32" t="s">
        <v>530</v>
      </c>
      <c r="B38" s="38" t="str">
        <f>_xlfn.TEXTJOIN(CHAR(10),,Scenario!$A$24,Scenario!$C$24)</f>
        <v>TS015
Validate the working of 'My Account &gt; Change Password' functionality</v>
      </c>
      <c r="C38" s="33" t="s">
        <v>531</v>
      </c>
      <c r="D38" s="33" t="s">
        <v>526</v>
      </c>
      <c r="E38" s="33" t="s">
        <v>527</v>
      </c>
      <c r="F38" s="33" t="s">
        <v>532</v>
      </c>
      <c r="G38" s="33" t="s">
        <v>533</v>
      </c>
      <c r="H38" s="32"/>
      <c r="I38" s="32"/>
      <c r="J38" s="32"/>
      <c r="K38" s="32"/>
    </row>
    <row r="39" ht="57" spans="1:11">
      <c r="A39" s="32" t="s">
        <v>534</v>
      </c>
      <c r="B39" s="38" t="str">
        <f>_xlfn.TEXTJOIN(CHAR(10),,Scenario!$A$24,Scenario!$C$24)</f>
        <v>TS015
Validate the working of 'My Account &gt; Change Password' functionality</v>
      </c>
      <c r="C39" s="33" t="s">
        <v>535</v>
      </c>
      <c r="D39" s="33" t="s">
        <v>526</v>
      </c>
      <c r="E39" s="33" t="s">
        <v>527</v>
      </c>
      <c r="F39" s="33" t="s">
        <v>532</v>
      </c>
      <c r="G39" s="33" t="s">
        <v>533</v>
      </c>
      <c r="H39" s="32"/>
      <c r="I39" s="32"/>
      <c r="J39" s="32"/>
      <c r="K39" s="32"/>
    </row>
    <row r="40" ht="42.75" spans="1:11">
      <c r="A40" s="32" t="s">
        <v>536</v>
      </c>
      <c r="B40" s="38" t="str">
        <f>_xlfn.TEXTJOIN(CHAR(10),,Scenario!$A$25,Scenario!$C$25)</f>
        <v>TS016
Validate the working of 'My Account Address Book' functionality</v>
      </c>
      <c r="C40" s="33" t="s">
        <v>537</v>
      </c>
      <c r="D40" s="33" t="s">
        <v>397</v>
      </c>
      <c r="E40" s="33" t="s">
        <v>538</v>
      </c>
      <c r="F40" s="32" t="s">
        <v>173</v>
      </c>
      <c r="G40" s="33"/>
      <c r="H40" s="32"/>
      <c r="I40" s="32"/>
      <c r="J40" s="32"/>
      <c r="K40" s="32"/>
    </row>
    <row r="41" ht="42.75" spans="1:11">
      <c r="A41" s="32" t="s">
        <v>539</v>
      </c>
      <c r="B41" s="38" t="str">
        <f>_xlfn.TEXTJOIN(CHAR(10),,Scenario!$A$25,Scenario!$C$25)</f>
        <v>TS016
Validate the working of 'My Account Address Book' functionality</v>
      </c>
      <c r="C41" s="33" t="s">
        <v>540</v>
      </c>
      <c r="D41" s="33" t="s">
        <v>392</v>
      </c>
      <c r="E41" s="33" t="s">
        <v>541</v>
      </c>
      <c r="F41" s="32" t="s">
        <v>173</v>
      </c>
      <c r="G41" s="33"/>
      <c r="H41" s="32"/>
      <c r="I41" s="32"/>
      <c r="J41" s="32"/>
      <c r="K41" s="32"/>
    </row>
    <row r="42" ht="42.75" spans="1:11">
      <c r="A42" s="32" t="s">
        <v>542</v>
      </c>
      <c r="B42" s="38" t="str">
        <f>_xlfn.TEXTJOIN(CHAR(10),,Scenario!$A$25,Scenario!$C$25)</f>
        <v>TS016
Validate the working of 'My Account Address Book' functionality</v>
      </c>
      <c r="C42" s="33" t="s">
        <v>543</v>
      </c>
      <c r="D42" s="33" t="s">
        <v>544</v>
      </c>
      <c r="E42" s="32" t="s">
        <v>393</v>
      </c>
      <c r="F42" s="32" t="s">
        <v>173</v>
      </c>
      <c r="G42" s="33" t="s">
        <v>545</v>
      </c>
      <c r="H42" s="32"/>
      <c r="I42" s="32"/>
      <c r="J42" s="32"/>
      <c r="K42" s="32"/>
    </row>
    <row r="43" ht="28.5" spans="1:11">
      <c r="A43" s="32" t="s">
        <v>546</v>
      </c>
      <c r="B43" s="38" t="str">
        <f>_xlfn.TEXTJOIN(CHAR(10),,Scenario!$A$25,Scenario!$C$25)</f>
        <v>TS016
Validate the working of 'My Account Address Book' functionality</v>
      </c>
      <c r="C43" s="33" t="s">
        <v>547</v>
      </c>
      <c r="D43" s="33" t="s">
        <v>548</v>
      </c>
      <c r="E43" s="32" t="s">
        <v>393</v>
      </c>
      <c r="F43" s="32" t="s">
        <v>173</v>
      </c>
      <c r="G43" s="39" t="s">
        <v>549</v>
      </c>
      <c r="H43" s="32"/>
      <c r="I43" s="32"/>
      <c r="J43" s="32"/>
      <c r="K43" s="32"/>
    </row>
    <row r="44" ht="42.75" spans="1:11">
      <c r="A44" s="32" t="s">
        <v>550</v>
      </c>
      <c r="B44" s="38" t="str">
        <f>_xlfn.TEXTJOIN(CHAR(10),,Scenario!$A$25,Scenario!$C$25)</f>
        <v>TS016
Validate the working of 'My Account Address Book' functionality</v>
      </c>
      <c r="C44" s="33" t="s">
        <v>551</v>
      </c>
      <c r="D44" s="33" t="s">
        <v>552</v>
      </c>
      <c r="E44" s="32" t="s">
        <v>393</v>
      </c>
      <c r="F44" s="32" t="s">
        <v>173</v>
      </c>
      <c r="G44" s="33" t="s">
        <v>553</v>
      </c>
      <c r="H44" s="32"/>
      <c r="I44" s="32"/>
      <c r="J44" s="32"/>
      <c r="K44" s="32"/>
    </row>
    <row r="45" ht="28.5" spans="1:11">
      <c r="A45" s="32" t="s">
        <v>554</v>
      </c>
      <c r="B45" s="38" t="str">
        <f>_xlfn.TEXTJOIN(CHAR(10),,Scenario!$A$25,Scenario!$C$25)</f>
        <v>TS016
Validate the working of 'My Account Address Book' functionality</v>
      </c>
      <c r="C45" s="33" t="s">
        <v>555</v>
      </c>
      <c r="D45" s="33" t="s">
        <v>544</v>
      </c>
      <c r="E45" s="33" t="s">
        <v>462</v>
      </c>
      <c r="F45" s="32" t="s">
        <v>173</v>
      </c>
      <c r="G45" s="33" t="s">
        <v>500</v>
      </c>
      <c r="H45" s="32"/>
      <c r="I45" s="32"/>
      <c r="J45" s="32"/>
      <c r="K45" s="32"/>
    </row>
    <row r="46" ht="42.75" spans="1:11">
      <c r="A46" s="32" t="s">
        <v>556</v>
      </c>
      <c r="B46" s="38" t="str">
        <f>_xlfn.TEXTJOIN(CHAR(10),,Scenario!$A$25,Scenario!$C$25)</f>
        <v>TS016
Validate the working of 'My Account Address Book' functionality</v>
      </c>
      <c r="C46" s="33" t="s">
        <v>557</v>
      </c>
      <c r="D46" s="33" t="s">
        <v>552</v>
      </c>
      <c r="E46" s="33" t="s">
        <v>558</v>
      </c>
      <c r="F46" s="32" t="s">
        <v>559</v>
      </c>
      <c r="G46" s="33" t="s">
        <v>560</v>
      </c>
      <c r="H46" s="32"/>
      <c r="I46" s="32"/>
      <c r="J46" s="32"/>
      <c r="K46" s="32"/>
    </row>
    <row r="47" ht="28.5" spans="1:11">
      <c r="A47" s="32" t="s">
        <v>561</v>
      </c>
      <c r="B47" s="38" t="str">
        <f>_xlfn.TEXTJOIN(CHAR(10),,Scenario!$A$25,Scenario!$C$25)</f>
        <v>TS016
Validate the working of 'My Account Address Book' functionality</v>
      </c>
      <c r="C47" s="33" t="s">
        <v>562</v>
      </c>
      <c r="D47" s="33" t="s">
        <v>544</v>
      </c>
      <c r="E47" s="33" t="s">
        <v>563</v>
      </c>
      <c r="F47" s="32" t="s">
        <v>173</v>
      </c>
      <c r="G47" s="33" t="s">
        <v>564</v>
      </c>
      <c r="H47" s="32"/>
      <c r="I47" s="32"/>
      <c r="J47" s="32"/>
      <c r="K47" s="32"/>
    </row>
    <row r="48" ht="71.25" spans="1:11">
      <c r="A48" s="32" t="s">
        <v>565</v>
      </c>
      <c r="B48" s="38" t="str">
        <f>_xlfn.TEXTJOIN(CHAR(10),,Scenario!$A$25,Scenario!$C$25)</f>
        <v>TS016
Validate the working of 'My Account Address Book' functionality</v>
      </c>
      <c r="C48" s="33" t="s">
        <v>566</v>
      </c>
      <c r="D48" s="33" t="s">
        <v>567</v>
      </c>
      <c r="E48" s="32" t="s">
        <v>393</v>
      </c>
      <c r="F48" s="32" t="s">
        <v>173</v>
      </c>
      <c r="G48" s="33" t="s">
        <v>568</v>
      </c>
      <c r="H48" s="32"/>
      <c r="I48" s="32"/>
      <c r="J48" s="32"/>
      <c r="K48" s="32"/>
    </row>
    <row r="49" ht="42.75" spans="1:11">
      <c r="A49" s="32" t="s">
        <v>569</v>
      </c>
      <c r="B49" s="38" t="str">
        <f>_xlfn.TEXTJOIN(CHAR(10),,Scenario!$A$25,Scenario!$C$25)</f>
        <v>TS016
Validate the working of 'My Account Address Book' functionality</v>
      </c>
      <c r="C49" s="33" t="s">
        <v>570</v>
      </c>
      <c r="D49" s="33" t="s">
        <v>567</v>
      </c>
      <c r="E49" s="33" t="s">
        <v>571</v>
      </c>
      <c r="F49" s="33" t="s">
        <v>572</v>
      </c>
      <c r="G49" s="33" t="s">
        <v>573</v>
      </c>
      <c r="H49" s="32"/>
      <c r="I49" s="32"/>
      <c r="J49" s="32"/>
      <c r="K49" s="32"/>
    </row>
    <row r="50" ht="28.5" spans="1:11">
      <c r="A50" s="32" t="s">
        <v>574</v>
      </c>
      <c r="B50" s="38" t="str">
        <f>_xlfn.TEXTJOIN(CHAR(10),,Scenario!$A$25,Scenario!$C$25)</f>
        <v>TS016
Validate the working of 'My Account Address Book' functionality</v>
      </c>
      <c r="C50" s="37" t="s">
        <v>575</v>
      </c>
    </row>
    <row r="51" ht="28.5" spans="1:11">
      <c r="A51" s="32" t="s">
        <v>576</v>
      </c>
      <c r="B51" s="38" t="str">
        <f>_xlfn.TEXTJOIN(CHAR(10),,Scenario!$A$25,Scenario!$C$25)</f>
        <v>TS016
Validate the working of 'My Account Address Book' functionality</v>
      </c>
      <c r="C51" s="37" t="s">
        <v>577</v>
      </c>
    </row>
    <row r="52" ht="28.5" spans="1:11">
      <c r="A52" s="32" t="s">
        <v>578</v>
      </c>
      <c r="B52" s="38" t="str">
        <f>_xlfn.TEXTJOIN(CHAR(10),,Scenario!$A$25,Scenario!$C$25)</f>
        <v>TS016
Validate the working of 'My Account Address Book' functionality</v>
      </c>
      <c r="C52" s="37" t="s">
        <v>579</v>
      </c>
    </row>
    <row r="53" ht="28.5" spans="1:11">
      <c r="A53" s="32" t="s">
        <v>580</v>
      </c>
      <c r="B53" s="38" t="str">
        <f>_xlfn.TEXTJOIN(CHAR(10),,Scenario!$A$25,Scenario!$C$25)</f>
        <v>TS016
Validate the working of 'My Account Address Book' functionality</v>
      </c>
      <c r="C53" s="37" t="s">
        <v>581</v>
      </c>
    </row>
    <row r="54" ht="28.5" spans="1:11">
      <c r="A54" s="32" t="s">
        <v>582</v>
      </c>
      <c r="B54" s="38" t="str">
        <f>_xlfn.TEXTJOIN(CHAR(10),,Scenario!$A$25,Scenario!$C$25)</f>
        <v>TS016
Validate the working of 'My Account Address Book' functionality</v>
      </c>
      <c r="C54" s="37" t="s">
        <v>583</v>
      </c>
    </row>
    <row r="55" ht="28.5" spans="1:11">
      <c r="A55" s="32" t="s">
        <v>584</v>
      </c>
      <c r="B55" s="38" t="str">
        <f>_xlfn.TEXTJOIN(CHAR(10),,Scenario!$A$25,Scenario!$C$25)</f>
        <v>TS016
Validate the working of 'My Account Address Book' functionality</v>
      </c>
      <c r="C55" s="37" t="s">
        <v>585</v>
      </c>
    </row>
    <row r="56" ht="28.5" spans="1:11">
      <c r="A56" s="32" t="s">
        <v>586</v>
      </c>
      <c r="B56" s="38" t="str">
        <f>_xlfn.TEXTJOIN(CHAR(10),,Scenario!$A$25,Scenario!$C$25)</f>
        <v>TS016
Validate the working of 'My Account Address Book' functionality</v>
      </c>
      <c r="C56" s="37" t="s">
        <v>587</v>
      </c>
    </row>
    <row r="57" ht="28.5" spans="1:11">
      <c r="A57" s="32" t="s">
        <v>588</v>
      </c>
      <c r="B57" s="38" t="str">
        <f>_xlfn.TEXTJOIN(CHAR(10),,Scenario!$A$25,Scenario!$C$25)</f>
        <v>TS016
Validate the working of 'My Account Address Book' functionality</v>
      </c>
      <c r="C57" s="37" t="s">
        <v>589</v>
      </c>
    </row>
    <row r="58" ht="28.5" spans="1:11">
      <c r="A58" s="32" t="s">
        <v>590</v>
      </c>
      <c r="B58" s="38" t="str">
        <f>_xlfn.TEXTJOIN(CHAR(10),,Scenario!$A$25,Scenario!$C$25)</f>
        <v>TS016
Validate the working of 'My Account Address Book' functionality</v>
      </c>
      <c r="C58" s="37" t="s">
        <v>591</v>
      </c>
    </row>
    <row r="59" ht="28.5" spans="1:11">
      <c r="A59" s="32" t="s">
        <v>592</v>
      </c>
      <c r="B59" s="38" t="str">
        <f>_xlfn.TEXTJOIN(CHAR(10),,Scenario!$A$25,Scenario!$C$25)</f>
        <v>TS016
Validate the working of 'My Account Address Book' functionality</v>
      </c>
      <c r="C59" s="37" t="s">
        <v>593</v>
      </c>
    </row>
    <row r="60" ht="28.5" spans="1:11">
      <c r="A60" s="32" t="s">
        <v>594</v>
      </c>
      <c r="B60" s="38" t="str">
        <f>_xlfn.TEXTJOIN(CHAR(10),,Scenario!$A$25,Scenario!$C$25)</f>
        <v>TS016
Validate the working of 'My Account Address Book' functionality</v>
      </c>
      <c r="C60" s="37" t="s">
        <v>595</v>
      </c>
    </row>
    <row r="61" ht="28.5" spans="1:11">
      <c r="A61" s="32" t="s">
        <v>596</v>
      </c>
      <c r="B61" s="38" t="str">
        <f>_xlfn.TEXTJOIN(CHAR(10),,Scenario!$A$25,Scenario!$C$25)</f>
        <v>TS016
Validate the working of 'My Account Address Book' functionality</v>
      </c>
      <c r="C61" s="37" t="s">
        <v>597</v>
      </c>
    </row>
    <row r="62" ht="28.5" spans="1:11">
      <c r="A62" s="32" t="s">
        <v>598</v>
      </c>
      <c r="B62" s="38" t="str">
        <f>_xlfn.TEXTJOIN(CHAR(10),,Scenario!$A$25,Scenario!$C$25)</f>
        <v>TS016
Validate the working of 'My Account Address Book' functionality</v>
      </c>
      <c r="C62" s="37" t="s">
        <v>599</v>
      </c>
    </row>
    <row r="63" ht="28.5" spans="1:11">
      <c r="A63" s="32" t="s">
        <v>600</v>
      </c>
      <c r="B63" s="38" t="str">
        <f>_xlfn.TEXTJOIN(CHAR(10),,Scenario!$A$25,Scenario!$C$25)</f>
        <v>TS016
Validate the working of 'My Account Address Book' functionality</v>
      </c>
      <c r="C63" s="37" t="s">
        <v>601</v>
      </c>
    </row>
    <row r="64" ht="28.5" spans="1:11">
      <c r="A64" s="32" t="s">
        <v>602</v>
      </c>
      <c r="B64" s="38" t="str">
        <f>_xlfn.TEXTJOIN(CHAR(10),,Scenario!$A$25,Scenario!$C$25)</f>
        <v>TS016
Validate the working of 'My Account Address Book' functionality</v>
      </c>
      <c r="C64" s="37" t="s">
        <v>603</v>
      </c>
    </row>
    <row r="65" ht="28.5" spans="1:3">
      <c r="A65" s="32" t="s">
        <v>604</v>
      </c>
      <c r="B65" s="38" t="str">
        <f>_xlfn.TEXTJOIN(CHAR(10),,Scenario!$A$25,Scenario!$C$25)</f>
        <v>TS016
Validate the working of 'My Account Address Book' functionality</v>
      </c>
      <c r="C65" s="37" t="s">
        <v>605</v>
      </c>
    </row>
    <row r="66" ht="28.5" spans="1:3">
      <c r="A66" s="32" t="s">
        <v>606</v>
      </c>
      <c r="B66" s="38" t="str">
        <f>_xlfn.TEXTJOIN(CHAR(10),,Scenario!$A$25,Scenario!$C$25)</f>
        <v>TS016
Validate the working of 'My Account Address Book' functionality</v>
      </c>
      <c r="C66" s="37" t="s">
        <v>607</v>
      </c>
    </row>
    <row r="67" ht="28.5" spans="1:3">
      <c r="A67" s="32" t="s">
        <v>608</v>
      </c>
      <c r="B67" s="38" t="str">
        <f>_xlfn.TEXTJOIN(CHAR(10),,Scenario!$A$25,Scenario!$C$25)</f>
        <v>TS016
Validate the working of 'My Account Address Book' functionality</v>
      </c>
      <c r="C67" s="37" t="s">
        <v>609</v>
      </c>
    </row>
    <row r="68" ht="28.5" spans="1:3">
      <c r="A68" s="32" t="s">
        <v>610</v>
      </c>
      <c r="B68" s="38" t="str">
        <f>_xlfn.TEXTJOIN(CHAR(10),,Scenario!$A$25,Scenario!$C$25)</f>
        <v>TS016
Validate the working of 'My Account Address Book' functionality</v>
      </c>
      <c r="C68" s="37" t="s">
        <v>611</v>
      </c>
    </row>
    <row r="69" ht="28.5" spans="1:3">
      <c r="A69" s="32" t="s">
        <v>612</v>
      </c>
      <c r="B69" s="38" t="str">
        <f>_xlfn.TEXTJOIN(CHAR(10),,Scenario!$A$25,Scenario!$C$25)</f>
        <v>TS016
Validate the working of 'My Account Address Book' functionality</v>
      </c>
      <c r="C69" s="37" t="s">
        <v>613</v>
      </c>
    </row>
    <row r="70" ht="28.5" spans="1:3">
      <c r="A70" s="32" t="s">
        <v>614</v>
      </c>
      <c r="B70" s="38" t="str">
        <f>_xlfn.TEXTJOIN(CHAR(10),,Scenario!$A$25,Scenario!$C$25)</f>
        <v>TS016
Validate the working of 'My Account Address Book' functionality</v>
      </c>
      <c r="C70" s="37" t="s">
        <v>615</v>
      </c>
    </row>
    <row r="71" ht="28.5" spans="1:3">
      <c r="A71" s="32" t="s">
        <v>616</v>
      </c>
      <c r="B71" s="38" t="str">
        <f>_xlfn.TEXTJOIN(CHAR(10),,Scenario!$A$25,Scenario!$C$25)</f>
        <v>TS016
Validate the working of 'My Account Address Book' functionality</v>
      </c>
      <c r="C71" s="37" t="s">
        <v>617</v>
      </c>
    </row>
    <row r="72" ht="28.5" spans="1:3">
      <c r="A72" s="32" t="s">
        <v>618</v>
      </c>
      <c r="B72" s="38" t="str">
        <f>_xlfn.TEXTJOIN(CHAR(10),,Scenario!$A$25,Scenario!$C$25)</f>
        <v>TS016
Validate the working of 'My Account Address Book' functionality</v>
      </c>
      <c r="C72" s="37" t="s">
        <v>619</v>
      </c>
    </row>
    <row r="73" ht="28.5" spans="1:3">
      <c r="A73" s="32" t="s">
        <v>620</v>
      </c>
      <c r="B73" s="38" t="str">
        <f>_xlfn.TEXTJOIN(CHAR(10),,Scenario!$A$25,Scenario!$C$25)</f>
        <v>TS016
Validate the working of 'My Account Address Book' functionality</v>
      </c>
      <c r="C73" s="37" t="s">
        <v>621</v>
      </c>
    </row>
    <row r="74" ht="28.5" spans="1:3">
      <c r="A74" s="32" t="s">
        <v>622</v>
      </c>
      <c r="B74" s="38" t="str">
        <f>_xlfn.TEXTJOIN(CHAR(10),,Scenario!$A$25,Scenario!$C$25)</f>
        <v>TS016
Validate the working of 'My Account Address Book' functionality</v>
      </c>
      <c r="C74" s="37" t="s">
        <v>623</v>
      </c>
    </row>
    <row r="75" ht="28.5" spans="1:3">
      <c r="A75" s="32" t="s">
        <v>624</v>
      </c>
      <c r="B75" s="38" t="str">
        <f>_xlfn.TEXTJOIN(CHAR(10),,Scenario!$A$25,Scenario!$C$25)</f>
        <v>TS016
Validate the working of 'My Account Address Book' functionality</v>
      </c>
      <c r="C75" s="37" t="s">
        <v>625</v>
      </c>
    </row>
    <row r="76" ht="28.5" spans="1:3">
      <c r="A76" s="32" t="s">
        <v>626</v>
      </c>
      <c r="B76" s="38" t="str">
        <f>_xlfn.TEXTJOIN(CHAR(10),,Scenario!$A$25,Scenario!$C$25)</f>
        <v>TS016
Validate the working of 'My Account Address Book' functionality</v>
      </c>
      <c r="C76" s="37" t="s">
        <v>627</v>
      </c>
    </row>
    <row r="77" ht="28.5" spans="1:3">
      <c r="A77" s="32" t="s">
        <v>628</v>
      </c>
      <c r="B77" s="38" t="str">
        <f>_xlfn.TEXTJOIN(CHAR(10),,Scenario!$A$25,Scenario!$C$25)</f>
        <v>TS016
Validate the working of 'My Account Address Book' functionality</v>
      </c>
      <c r="C77" s="37" t="s">
        <v>629</v>
      </c>
    </row>
    <row r="78" ht="28.5" spans="1:3">
      <c r="A78" s="32" t="s">
        <v>630</v>
      </c>
      <c r="B78" s="38" t="str">
        <f>_xlfn.TEXTJOIN(CHAR(10),,Scenario!$A$25,Scenario!$C$25)</f>
        <v>TS016
Validate the working of 'My Account Address Book' functionality</v>
      </c>
      <c r="C78" s="33" t="s">
        <v>631</v>
      </c>
    </row>
    <row r="79" ht="28.5" spans="1:3">
      <c r="A79" s="32" t="s">
        <v>632</v>
      </c>
      <c r="B79" s="38" t="str">
        <f>_xlfn.TEXTJOIN(CHAR(10),,Scenario!$A$25,Scenario!$C$25)</f>
        <v>TS016
Validate the working of 'My Account Address Book' functionality</v>
      </c>
      <c r="C79" s="37" t="s">
        <v>633</v>
      </c>
    </row>
    <row r="80" ht="28.5" spans="1:3">
      <c r="A80" s="32" t="s">
        <v>634</v>
      </c>
      <c r="B80" s="38" t="str">
        <f>_xlfn.TEXTJOIN(CHAR(10),,Scenario!$A$25,Scenario!$C$25)</f>
        <v>TS016
Validate the working of 'My Account Address Book' functionality</v>
      </c>
      <c r="C80" s="37" t="s">
        <v>635</v>
      </c>
    </row>
    <row r="81" ht="28.5" spans="1:3">
      <c r="A81" s="32" t="s">
        <v>636</v>
      </c>
      <c r="B81" s="38" t="str">
        <f>_xlfn.TEXTJOIN(CHAR(10),,Scenario!$A$25,Scenario!$C$25)</f>
        <v>TS016
Validate the working of 'My Account Address Book' functionality</v>
      </c>
      <c r="C81" s="37" t="s">
        <v>637</v>
      </c>
    </row>
    <row r="82" ht="28.5" spans="1:3">
      <c r="A82" s="32" t="s">
        <v>638</v>
      </c>
      <c r="B82" s="38" t="str">
        <f>_xlfn.TEXTJOIN(CHAR(10),,Scenario!$A$25,Scenario!$C$25)</f>
        <v>TS016
Validate the working of 'My Account Address Book' functionality</v>
      </c>
      <c r="C82" s="37" t="s">
        <v>639</v>
      </c>
    </row>
    <row r="83" ht="28.5" spans="1:3">
      <c r="A83" s="32" t="s">
        <v>640</v>
      </c>
      <c r="B83" s="38" t="str">
        <f>_xlfn.TEXTJOIN(CHAR(10),,Scenario!$A$25,Scenario!$C$25)</f>
        <v>TS016
Validate the working of 'My Account Address Book' functionality</v>
      </c>
      <c r="C83" s="37" t="s">
        <v>641</v>
      </c>
    </row>
    <row r="84" ht="28.5" spans="1:3">
      <c r="A84" s="32" t="s">
        <v>642</v>
      </c>
      <c r="B84" s="38" t="str">
        <f>_xlfn.TEXTJOIN(CHAR(10),,Scenario!$A$25,Scenario!$C$25)</f>
        <v>TS016
Validate the working of 'My Account Address Book' functionality</v>
      </c>
      <c r="C84" s="37" t="s">
        <v>643</v>
      </c>
    </row>
    <row r="85" ht="28.5" spans="1:3">
      <c r="A85" s="32" t="s">
        <v>644</v>
      </c>
      <c r="B85" s="38" t="str">
        <f>_xlfn.TEXTJOIN(CHAR(10),,Scenario!$A$25,Scenario!$C$25)</f>
        <v>TS016
Validate the working of 'My Account Address Book' functionality</v>
      </c>
      <c r="C85" s="37" t="s">
        <v>645</v>
      </c>
    </row>
    <row r="86" ht="28.5" spans="1:3">
      <c r="A86" s="32" t="s">
        <v>646</v>
      </c>
      <c r="B86" s="38" t="str">
        <f>_xlfn.TEXTJOIN(CHAR(10),,Scenario!$A$25,Scenario!$C$25)</f>
        <v>TS016
Validate the working of 'My Account Address Book' functionality</v>
      </c>
      <c r="C86" s="37" t="s">
        <v>647</v>
      </c>
    </row>
    <row r="87" ht="28.5" spans="1:3">
      <c r="A87" s="32" t="s">
        <v>648</v>
      </c>
      <c r="B87" s="38" t="str">
        <f>_xlfn.TEXTJOIN(CHAR(10),,Scenario!$A$25,Scenario!$C$25)</f>
        <v>TS016
Validate the working of 'My Account Address Book' functionality</v>
      </c>
      <c r="C87" s="37" t="s">
        <v>649</v>
      </c>
    </row>
    <row r="88" ht="28.5" spans="1:3">
      <c r="A88" s="32" t="s">
        <v>650</v>
      </c>
      <c r="B88" s="38" t="str">
        <f>_xlfn.TEXTJOIN(CHAR(10),,Scenario!$A$25,Scenario!$C$25)</f>
        <v>TS016
Validate the working of 'My Account Address Book' functionality</v>
      </c>
      <c r="C88" s="37" t="s">
        <v>651</v>
      </c>
    </row>
    <row r="89" ht="28.5" spans="1:3">
      <c r="A89" s="32" t="s">
        <v>652</v>
      </c>
      <c r="B89" s="38" t="str">
        <f>_xlfn.TEXTJOIN(CHAR(10),,Scenario!$A$25,Scenario!$C$25)</f>
        <v>TS016
Validate the working of 'My Account Address Book' functionality</v>
      </c>
      <c r="C89" s="37" t="s">
        <v>653</v>
      </c>
    </row>
    <row r="90" ht="28.5" spans="1:3">
      <c r="A90" s="32" t="s">
        <v>654</v>
      </c>
      <c r="B90" s="38" t="str">
        <f>_xlfn.TEXTJOIN(CHAR(10),,Scenario!$A$25,Scenario!$C$25)</f>
        <v>TS016
Validate the working of 'My Account Address Book' functionality</v>
      </c>
      <c r="C90" s="37" t="s">
        <v>655</v>
      </c>
    </row>
    <row r="91" ht="28.5" spans="1:3">
      <c r="A91" s="32" t="s">
        <v>656</v>
      </c>
      <c r="B91" s="38" t="str">
        <f>_xlfn.TEXTJOIN(CHAR(10),,Scenario!$A$25,Scenario!$C$25)</f>
        <v>TS016
Validate the working of 'My Account Address Book' functionality</v>
      </c>
      <c r="C91" s="37" t="s">
        <v>657</v>
      </c>
    </row>
    <row r="92" ht="28.5" spans="1:3">
      <c r="A92" s="32" t="s">
        <v>658</v>
      </c>
      <c r="B92" s="38" t="str">
        <f>_xlfn.TEXTJOIN(CHAR(10),,Scenario!$A$25,Scenario!$C$25)</f>
        <v>TS016
Validate the working of 'My Account Address Book' functionality</v>
      </c>
      <c r="C92" s="37" t="s">
        <v>659</v>
      </c>
    </row>
    <row r="93" ht="28.5" spans="1:3">
      <c r="A93" s="32" t="s">
        <v>660</v>
      </c>
      <c r="B93" s="38" t="str">
        <f>_xlfn.TEXTJOIN(CHAR(10),,Scenario!$A$25,Scenario!$C$25)</f>
        <v>TS016
Validate the working of 'My Account Address Book' functionality</v>
      </c>
      <c r="C93" s="37" t="s">
        <v>661</v>
      </c>
    </row>
    <row r="94" ht="28.5" spans="1:3">
      <c r="A94" s="32" t="s">
        <v>662</v>
      </c>
      <c r="B94" s="38" t="str">
        <f>_xlfn.TEXTJOIN(CHAR(10),,Scenario!$A$25,Scenario!$C$25)</f>
        <v>TS016
Validate the working of 'My Account Address Book' functionality</v>
      </c>
      <c r="C94" s="37" t="s">
        <v>663</v>
      </c>
    </row>
    <row r="95" ht="28.5" spans="1:3">
      <c r="A95" s="32" t="s">
        <v>664</v>
      </c>
      <c r="B95" s="38" t="str">
        <f>_xlfn.TEXTJOIN(CHAR(10),,Scenario!$A$25,Scenario!$C$25)</f>
        <v>TS016
Validate the working of 'My Account Address Book' functionality</v>
      </c>
      <c r="C95" s="37" t="s">
        <v>665</v>
      </c>
    </row>
    <row r="96" ht="28.5" spans="1:3">
      <c r="A96" s="32" t="s">
        <v>666</v>
      </c>
      <c r="B96" s="38" t="str">
        <f>_xlfn.TEXTJOIN(CHAR(10),,Scenario!$A$25,Scenario!$C$25)</f>
        <v>TS016
Validate the working of 'My Account Address Book' functionality</v>
      </c>
      <c r="C96" s="37" t="s">
        <v>667</v>
      </c>
    </row>
    <row r="97" ht="28.5" spans="1:3">
      <c r="A97" s="32" t="s">
        <v>668</v>
      </c>
      <c r="B97" s="38" t="str">
        <f>_xlfn.TEXTJOIN(CHAR(10),,Scenario!$A$25,Scenario!$C$25)</f>
        <v>TS016
Validate the working of 'My Account Address Book' functionality</v>
      </c>
      <c r="C97" s="37" t="s">
        <v>669</v>
      </c>
    </row>
    <row r="98" ht="28.5" spans="1:3">
      <c r="A98" s="32" t="s">
        <v>670</v>
      </c>
      <c r="B98" s="38" t="str">
        <f>_xlfn.TEXTJOIN(CHAR(10),,Scenario!$A$25,Scenario!$C$25)</f>
        <v>TS016
Validate the working of 'My Account Address Book' functionality</v>
      </c>
      <c r="C98" s="37" t="s">
        <v>671</v>
      </c>
    </row>
    <row r="99" ht="28.5" spans="1:3">
      <c r="A99" s="32" t="s">
        <v>672</v>
      </c>
      <c r="B99" s="38" t="str">
        <f>_xlfn.TEXTJOIN(CHAR(10),,Scenario!$A$25,Scenario!$C$25)</f>
        <v>TS016
Validate the working of 'My Account Address Book' functionality</v>
      </c>
      <c r="C99" s="37" t="s">
        <v>673</v>
      </c>
    </row>
    <row r="100" ht="28.5" spans="1:3">
      <c r="A100" s="32" t="s">
        <v>674</v>
      </c>
      <c r="B100" s="38" t="str">
        <f>_xlfn.TEXTJOIN(CHAR(10),,Scenario!$A$25,Scenario!$C$25)</f>
        <v>TS016
Validate the working of 'My Account Address Book' functionality</v>
      </c>
      <c r="C100" s="37" t="s">
        <v>675</v>
      </c>
    </row>
    <row r="101" ht="28.5" spans="1:3">
      <c r="A101" s="32" t="s">
        <v>676</v>
      </c>
      <c r="B101" s="38" t="str">
        <f>_xlfn.TEXTJOIN(CHAR(10),,Scenario!$A$25,Scenario!$C$25)</f>
        <v>TS016
Validate the working of 'My Account Address Book' functionality</v>
      </c>
      <c r="C101" s="37" t="s">
        <v>677</v>
      </c>
    </row>
    <row r="102" ht="28.5" spans="1:3">
      <c r="A102" s="32" t="s">
        <v>678</v>
      </c>
      <c r="B102" s="38" t="str">
        <f>_xlfn.TEXTJOIN(CHAR(10),,Scenario!$A$25,Scenario!$C$25)</f>
        <v>TS016
Validate the working of 'My Account Address Book' functionality</v>
      </c>
      <c r="C102" s="37" t="s">
        <v>679</v>
      </c>
    </row>
    <row r="103" ht="28.5" spans="1:3">
      <c r="A103" s="32" t="s">
        <v>680</v>
      </c>
      <c r="B103" s="38" t="str">
        <f>_xlfn.TEXTJOIN(CHAR(10),,Scenario!$A$25,Scenario!$C$25)</f>
        <v>TS016
Validate the working of 'My Account Address Book' functionality</v>
      </c>
      <c r="C103" s="37" t="s">
        <v>681</v>
      </c>
    </row>
    <row r="104" ht="28.5" spans="1:3">
      <c r="A104" s="32" t="s">
        <v>682</v>
      </c>
      <c r="B104" s="38" t="str">
        <f>_xlfn.TEXTJOIN(CHAR(10),,Scenario!$A$25,Scenario!$C$25)</f>
        <v>TS016
Validate the working of 'My Account Address Book' functionality</v>
      </c>
      <c r="C104" s="37" t="s">
        <v>683</v>
      </c>
    </row>
    <row r="105" ht="28.5" spans="1:3">
      <c r="A105" s="32" t="s">
        <v>684</v>
      </c>
      <c r="B105" s="38" t="str">
        <f>_xlfn.TEXTJOIN(CHAR(10),,Scenario!$A$25,Scenario!$C$25)</f>
        <v>TS016
Validate the working of 'My Account Address Book' functionality</v>
      </c>
      <c r="C105" s="37" t="s">
        <v>685</v>
      </c>
    </row>
    <row r="106" ht="28.5" spans="1:3">
      <c r="A106" s="32" t="s">
        <v>686</v>
      </c>
      <c r="B106" s="38" t="str">
        <f>_xlfn.TEXTJOIN(CHAR(10),,Scenario!$A$26,Scenario!$C$26)</f>
        <v>TS017
Validate the working of 'My Order &gt; Order History' functionality</v>
      </c>
    </row>
    <row r="107" ht="28.5" spans="1:3">
      <c r="A107" s="32" t="s">
        <v>687</v>
      </c>
      <c r="B107" s="38" t="str">
        <f>_xlfn.TEXTJOIN(CHAR(10),,Scenario!$A$26,Scenario!$C$26)</f>
        <v>TS017
Validate the working of 'My Order &gt; Order History' functionality</v>
      </c>
    </row>
    <row r="108" ht="28.5" spans="1:3">
      <c r="A108" s="32" t="s">
        <v>688</v>
      </c>
      <c r="B108" s="38" t="str">
        <f>_xlfn.TEXTJOIN(CHAR(10),,Scenario!$A$26,Scenario!$C$26)</f>
        <v>TS017
Validate the working of 'My Order &gt; Order History' functionality</v>
      </c>
    </row>
    <row r="109" ht="28.5" spans="1:3">
      <c r="A109" s="32" t="s">
        <v>689</v>
      </c>
      <c r="B109" s="38" t="str">
        <f>_xlfn.TEXTJOIN(CHAR(10),,Scenario!$A$26,Scenario!$C$26)</f>
        <v>TS017
Validate the working of 'My Order &gt; Order History' functionality</v>
      </c>
    </row>
    <row r="110" ht="28.5" spans="1:3">
      <c r="A110" s="32" t="s">
        <v>690</v>
      </c>
      <c r="B110" s="38" t="str">
        <f>_xlfn.TEXTJOIN(CHAR(10),,Scenario!$A$26,Scenario!$C$26)</f>
        <v>TS017
Validate the working of 'My Order &gt; Order History' functionality</v>
      </c>
    </row>
    <row r="111" ht="28.5" spans="1:3">
      <c r="A111" s="32" t="s">
        <v>691</v>
      </c>
      <c r="B111" s="38" t="str">
        <f>_xlfn.TEXTJOIN(CHAR(10),,Scenario!$A$26,Scenario!$C$26)</f>
        <v>TS017
Validate the working of 'My Order &gt; Order History' functionality</v>
      </c>
    </row>
    <row r="112" ht="28.5" spans="1:3">
      <c r="A112" s="32" t="s">
        <v>692</v>
      </c>
      <c r="B112" s="38" t="str">
        <f>_xlfn.TEXTJOIN(CHAR(10),,Scenario!$A$26,Scenario!$C$26)</f>
        <v>TS017
Validate the working of 'My Order &gt; Order History' functionality</v>
      </c>
    </row>
    <row r="113" ht="28.5" spans="1:2">
      <c r="A113" s="32" t="s">
        <v>693</v>
      </c>
      <c r="B113" s="38" t="str">
        <f>_xlfn.TEXTJOIN(CHAR(10),,Scenario!$A$26,Scenario!$C$26)</f>
        <v>TS017
Validate the working of 'My Order &gt; Order History' functionality</v>
      </c>
    </row>
    <row r="114" ht="28.5" spans="1:2">
      <c r="A114" s="32" t="s">
        <v>694</v>
      </c>
      <c r="B114" s="38" t="str">
        <f>_xlfn.TEXTJOIN(CHAR(10),,Scenario!$A$26,Scenario!$C$26)</f>
        <v>TS017
Validate the working of 'My Order &gt; Order History' functionality</v>
      </c>
    </row>
    <row r="115" ht="28.5" spans="1:2">
      <c r="A115" s="32" t="s">
        <v>695</v>
      </c>
      <c r="B115" s="38" t="str">
        <f>_xlfn.TEXTJOIN(CHAR(10),,Scenario!$A$26,Scenario!$C$26)</f>
        <v>TS017
Validate the working of 'My Order &gt; Order History' functionality</v>
      </c>
    </row>
    <row r="116" ht="28.5" spans="1:2">
      <c r="A116" s="32" t="s">
        <v>696</v>
      </c>
      <c r="B116" s="38" t="str">
        <f>_xlfn.TEXTJOIN(CHAR(10),,Scenario!$A$26,Scenario!$C$26)</f>
        <v>TS017
Validate the working of 'My Order &gt; Order History' functionality</v>
      </c>
    </row>
    <row r="117" ht="28.5" spans="1:2">
      <c r="A117" s="32" t="s">
        <v>697</v>
      </c>
      <c r="B117" s="38" t="str">
        <f>_xlfn.TEXTJOIN(CHAR(10),,Scenario!$A$26,Scenario!$C$26)</f>
        <v>TS017
Validate the working of 'My Order &gt; Order History' functionality</v>
      </c>
    </row>
    <row r="118" ht="28.5" spans="1:2">
      <c r="A118" s="32" t="s">
        <v>698</v>
      </c>
      <c r="B118" s="38" t="str">
        <f>_xlfn.TEXTJOIN(CHAR(10),,Scenario!$A$26,Scenario!$C$26)</f>
        <v>TS017
Validate the working of 'My Order &gt; Order History' functionality</v>
      </c>
    </row>
    <row r="119" spans="1:2">
      <c r="A119" s="32" t="s">
        <v>648</v>
      </c>
      <c r="B119" s="38" t="s">
        <v>134</v>
      </c>
    </row>
    <row r="120" spans="1:2">
      <c r="A120" s="32" t="s">
        <v>650</v>
      </c>
      <c r="B120" s="38" t="s">
        <v>136</v>
      </c>
    </row>
    <row r="121" spans="1:2">
      <c r="A121" s="32" t="s">
        <v>652</v>
      </c>
      <c r="B121" s="38" t="s">
        <v>138</v>
      </c>
    </row>
    <row r="122" spans="1:2">
      <c r="A122" s="32" t="s">
        <v>654</v>
      </c>
      <c r="B122" s="38" t="s">
        <v>140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24"/>
  <sheetViews>
    <sheetView topLeftCell="A13" workbookViewId="0">
      <selection activeCell="K17" sqref="K17"/>
    </sheetView>
  </sheetViews>
  <sheetFormatPr defaultColWidth="9" defaultRowHeight="14.25"/>
  <cols>
    <col min="1" max="1" width="13.125" style="12" customWidth="1"/>
    <col min="2" max="2" width="52" style="1" customWidth="1"/>
    <col min="3" max="3" width="39.5" customWidth="1"/>
    <col min="4" max="4" width="33.5" style="19" customWidth="1"/>
    <col min="5" max="5" width="25.625" customWidth="1"/>
    <col min="6" max="6" width="25.75" style="3" customWidth="1"/>
    <col min="7" max="7" width="60" style="2" customWidth="1"/>
    <col min="8" max="8" width="12.625" customWidth="1"/>
  </cols>
  <sheetData>
    <row r="1" ht="15" spans="1:11">
      <c r="A1" s="4" t="s">
        <v>160</v>
      </c>
      <c r="B1" s="5" t="s">
        <v>161</v>
      </c>
      <c r="C1" s="5" t="s">
        <v>162</v>
      </c>
      <c r="D1" s="4" t="s">
        <v>163</v>
      </c>
      <c r="E1" s="5" t="s">
        <v>164</v>
      </c>
      <c r="F1" s="4" t="s">
        <v>165</v>
      </c>
      <c r="G1" s="5" t="s">
        <v>166</v>
      </c>
      <c r="H1" s="4" t="s">
        <v>24</v>
      </c>
      <c r="I1" s="4" t="s">
        <v>26</v>
      </c>
      <c r="J1" s="4" t="s">
        <v>167</v>
      </c>
      <c r="K1" s="4" t="s">
        <v>168</v>
      </c>
    </row>
    <row r="2" ht="28.5" spans="1:11">
      <c r="A2" s="17" t="s">
        <v>699</v>
      </c>
      <c r="B2" s="7" t="str">
        <f>_xlfn.TEXTJOIN(CHAR(10),,Scenario!$A$14,Scenario!$C$14)</f>
        <v>TS005
Validate the working of 'Search' functionality</v>
      </c>
      <c r="C2" s="6" t="s">
        <v>700</v>
      </c>
      <c r="D2" s="20" t="s">
        <v>701</v>
      </c>
      <c r="E2" s="6" t="s">
        <v>172</v>
      </c>
      <c r="F2" s="9" t="s">
        <v>173</v>
      </c>
      <c r="G2" s="8" t="s">
        <v>702</v>
      </c>
      <c r="H2" s="6"/>
      <c r="I2" s="6"/>
      <c r="J2" s="6"/>
      <c r="K2" s="6"/>
    </row>
    <row r="3" ht="28.5" spans="1:11">
      <c r="A3" s="17" t="s">
        <v>703</v>
      </c>
      <c r="B3" s="7" t="str">
        <f>_xlfn.TEXTJOIN(CHAR(10),,Scenario!$A$14,Scenario!$C$14)</f>
        <v>TS005
Validate the working of 'Search' functionality</v>
      </c>
      <c r="C3" s="6" t="s">
        <v>704</v>
      </c>
      <c r="D3" s="20" t="s">
        <v>701</v>
      </c>
      <c r="E3" s="8" t="s">
        <v>705</v>
      </c>
      <c r="F3" s="9" t="s">
        <v>173</v>
      </c>
      <c r="G3" s="8" t="s">
        <v>706</v>
      </c>
      <c r="H3" s="6"/>
      <c r="I3" s="6"/>
      <c r="J3" s="6"/>
      <c r="K3" s="6"/>
    </row>
    <row r="4" ht="42.75" spans="1:11">
      <c r="A4" s="17" t="s">
        <v>707</v>
      </c>
      <c r="B4" s="7" t="str">
        <f>_xlfn.TEXTJOIN(CHAR(10),,Scenario!$A$14,Scenario!$C$14)</f>
        <v>TS005
Validate the working of 'Search' functionality</v>
      </c>
      <c r="C4" s="6" t="s">
        <v>708</v>
      </c>
      <c r="D4" s="20" t="s">
        <v>701</v>
      </c>
      <c r="E4" s="8" t="s">
        <v>709</v>
      </c>
      <c r="F4" s="9" t="s">
        <v>710</v>
      </c>
      <c r="G4" s="8" t="s">
        <v>711</v>
      </c>
      <c r="H4" s="6"/>
      <c r="I4" s="6"/>
      <c r="J4" s="6"/>
      <c r="K4" s="6"/>
    </row>
    <row r="5" ht="42.75" spans="1:11">
      <c r="A5" s="17" t="s">
        <v>712</v>
      </c>
      <c r="B5" s="7" t="str">
        <f>_xlfn.TEXTJOIN(CHAR(10),,Scenario!$A$14,Scenario!$C$14)</f>
        <v>TS005
Validate the working of 'Search' functionality</v>
      </c>
      <c r="C5" s="6" t="s">
        <v>713</v>
      </c>
      <c r="D5" s="20" t="s">
        <v>701</v>
      </c>
      <c r="E5" s="8" t="s">
        <v>709</v>
      </c>
      <c r="F5" s="9" t="s">
        <v>714</v>
      </c>
      <c r="G5" s="8" t="s">
        <v>715</v>
      </c>
      <c r="H5" s="6"/>
      <c r="I5" s="6"/>
      <c r="J5" s="6"/>
      <c r="K5" s="6"/>
    </row>
    <row r="6" ht="42.75" spans="1:11">
      <c r="A6" s="17" t="s">
        <v>716</v>
      </c>
      <c r="B6" s="7" t="str">
        <f>_xlfn.TEXTJOIN(CHAR(10),,Scenario!$A$14,Scenario!$C$14)</f>
        <v>TS005
Validate the working of 'Search' functionality</v>
      </c>
      <c r="C6" s="6" t="s">
        <v>717</v>
      </c>
      <c r="D6" s="20" t="s">
        <v>701</v>
      </c>
      <c r="E6" s="8" t="s">
        <v>709</v>
      </c>
      <c r="F6" s="9" t="s">
        <v>718</v>
      </c>
      <c r="G6" s="8" t="s">
        <v>719</v>
      </c>
      <c r="H6" s="6"/>
      <c r="I6" s="6"/>
      <c r="J6" s="6"/>
      <c r="K6" s="6"/>
    </row>
    <row r="7" ht="42.75" spans="1:11">
      <c r="A7" s="17" t="s">
        <v>720</v>
      </c>
      <c r="B7" s="7" t="str">
        <f>_xlfn.TEXTJOIN(CHAR(10),,Scenario!$A$14,Scenario!$C$14)</f>
        <v>TS005
Validate the working of 'Search' functionality</v>
      </c>
      <c r="C7" s="6" t="s">
        <v>721</v>
      </c>
      <c r="D7" s="20" t="s">
        <v>701</v>
      </c>
      <c r="E7" s="8" t="s">
        <v>709</v>
      </c>
      <c r="F7" s="9" t="s">
        <v>722</v>
      </c>
      <c r="G7" s="8" t="s">
        <v>723</v>
      </c>
      <c r="H7" s="6"/>
      <c r="I7" s="6"/>
      <c r="J7" s="6"/>
      <c r="K7" s="6"/>
    </row>
    <row r="8" ht="42.75" spans="1:11">
      <c r="A8" s="17" t="s">
        <v>724</v>
      </c>
      <c r="B8" s="7" t="str">
        <f>_xlfn.TEXTJOIN(CHAR(10),,Scenario!$A$14,Scenario!$C$14)</f>
        <v>TS005
Validate the working of 'Search' functionality</v>
      </c>
      <c r="C8" s="6" t="s">
        <v>725</v>
      </c>
      <c r="D8" s="20" t="s">
        <v>701</v>
      </c>
      <c r="E8" s="8" t="s">
        <v>709</v>
      </c>
      <c r="F8" s="9" t="s">
        <v>726</v>
      </c>
      <c r="G8" s="8" t="s">
        <v>727</v>
      </c>
      <c r="H8" s="6"/>
      <c r="I8" s="6"/>
      <c r="J8" s="6"/>
      <c r="K8" s="6"/>
    </row>
    <row r="9" ht="42.75" spans="1:11">
      <c r="A9" s="17" t="s">
        <v>728</v>
      </c>
      <c r="B9" s="7" t="str">
        <f>_xlfn.TEXTJOIN(CHAR(10),,Scenario!$A$14,Scenario!$C$14)</f>
        <v>TS005
Validate the working of 'Search' functionality</v>
      </c>
      <c r="C9" s="6" t="s">
        <v>729</v>
      </c>
      <c r="D9" s="20" t="s">
        <v>701</v>
      </c>
      <c r="E9" s="8" t="s">
        <v>709</v>
      </c>
      <c r="F9" s="9" t="s">
        <v>730</v>
      </c>
      <c r="G9" s="8" t="s">
        <v>731</v>
      </c>
      <c r="H9" s="6"/>
      <c r="I9" s="6"/>
      <c r="J9" s="6"/>
      <c r="K9" s="6"/>
    </row>
    <row r="10" ht="42.75" spans="1:11">
      <c r="A10" s="17" t="s">
        <v>732</v>
      </c>
      <c r="B10" s="7" t="str">
        <f>_xlfn.TEXTJOIN(CHAR(10),,Scenario!$A$14,Scenario!$C$14)</f>
        <v>TS005
Validate the working of 'Search' functionality</v>
      </c>
      <c r="C10" s="6" t="s">
        <v>733</v>
      </c>
      <c r="D10" s="20" t="s">
        <v>701</v>
      </c>
      <c r="E10" s="8" t="s">
        <v>709</v>
      </c>
      <c r="F10" s="9" t="s">
        <v>734</v>
      </c>
      <c r="G10" s="8" t="s">
        <v>735</v>
      </c>
      <c r="H10" s="6"/>
      <c r="I10" s="6"/>
      <c r="J10" s="6"/>
      <c r="K10" s="6"/>
    </row>
    <row r="11" ht="42.75" spans="1:11">
      <c r="A11" s="17" t="s">
        <v>736</v>
      </c>
      <c r="B11" s="7" t="str">
        <f>_xlfn.TEXTJOIN(CHAR(10),,Scenario!$A$14,Scenario!$C$14)</f>
        <v>TS005
Validate the working of 'Search' functionality</v>
      </c>
      <c r="C11" s="6" t="s">
        <v>737</v>
      </c>
      <c r="D11" s="20" t="s">
        <v>701</v>
      </c>
      <c r="E11" s="8" t="s">
        <v>709</v>
      </c>
      <c r="F11" s="9" t="s">
        <v>738</v>
      </c>
      <c r="G11" s="8" t="s">
        <v>739</v>
      </c>
      <c r="H11" s="6"/>
      <c r="I11" s="6"/>
      <c r="J11" s="6"/>
      <c r="K11" s="6"/>
    </row>
    <row r="12" ht="42.75" spans="1:11">
      <c r="A12" s="17" t="s">
        <v>740</v>
      </c>
      <c r="B12" s="7" t="str">
        <f>_xlfn.TEXTJOIN(CHAR(10),,Scenario!$A$14,Scenario!$C$14)</f>
        <v>TS005
Validate the working of 'Search' functionality</v>
      </c>
      <c r="C12" s="6" t="s">
        <v>741</v>
      </c>
      <c r="D12" s="20" t="s">
        <v>701</v>
      </c>
      <c r="E12" s="8" t="s">
        <v>709</v>
      </c>
      <c r="F12" s="10" t="s">
        <v>742</v>
      </c>
      <c r="G12" s="8" t="s">
        <v>743</v>
      </c>
      <c r="H12" s="6"/>
      <c r="I12" s="6"/>
      <c r="J12" s="6"/>
      <c r="K12" s="6"/>
    </row>
    <row r="13" ht="71.25" spans="1:11">
      <c r="A13" s="17" t="s">
        <v>744</v>
      </c>
      <c r="B13" s="7" t="str">
        <f>_xlfn.TEXTJOIN(CHAR(10),,Scenario!A14,Scenario!C14)</f>
        <v>TS005
Validate the working of 'Search' functionality</v>
      </c>
      <c r="C13" s="6" t="s">
        <v>745</v>
      </c>
      <c r="D13" s="20" t="s">
        <v>701</v>
      </c>
      <c r="E13" s="8" t="s">
        <v>709</v>
      </c>
      <c r="F13" s="10" t="s">
        <v>746</v>
      </c>
      <c r="G13" s="8" t="s">
        <v>747</v>
      </c>
      <c r="H13" s="6"/>
      <c r="I13" s="6"/>
      <c r="J13" s="6"/>
      <c r="K13" s="6"/>
    </row>
    <row r="14" ht="42.75" spans="1:11">
      <c r="A14" s="17" t="s">
        <v>748</v>
      </c>
      <c r="B14" s="7" t="str">
        <f>_xlfn.TEXTJOIN(CHAR(10),,Scenario!A14,Scenario!C14)</f>
        <v>TS005
Validate the working of 'Search' functionality</v>
      </c>
      <c r="C14" s="6" t="s">
        <v>749</v>
      </c>
      <c r="D14" s="20" t="s">
        <v>701</v>
      </c>
      <c r="E14" s="8" t="s">
        <v>709</v>
      </c>
      <c r="F14" s="9" t="s">
        <v>750</v>
      </c>
      <c r="G14" s="8" t="s">
        <v>751</v>
      </c>
      <c r="H14" s="6"/>
      <c r="I14" s="6"/>
      <c r="J14" s="6"/>
      <c r="K14" s="6"/>
    </row>
    <row r="15" ht="42.75" spans="1:11">
      <c r="A15" s="17" t="s">
        <v>752</v>
      </c>
      <c r="B15" s="7" t="str">
        <f>_xlfn.TEXTJOIN(CHAR(10),,Scenario!A14,Scenario!C14)</f>
        <v>TS005
Validate the working of 'Search' functionality</v>
      </c>
      <c r="C15" s="6" t="s">
        <v>753</v>
      </c>
      <c r="D15" s="20" t="s">
        <v>701</v>
      </c>
      <c r="E15" s="8" t="s">
        <v>709</v>
      </c>
      <c r="F15" s="9" t="s">
        <v>726</v>
      </c>
      <c r="G15" s="8" t="s">
        <v>751</v>
      </c>
      <c r="H15" s="6"/>
      <c r="I15" s="6"/>
      <c r="J15" s="6"/>
      <c r="K15" s="6"/>
    </row>
    <row r="16" ht="42.75" spans="1:11">
      <c r="A16" s="17" t="s">
        <v>754</v>
      </c>
      <c r="B16" s="7" t="str">
        <f>_xlfn.TEXTJOIN(CHAR(10),,Scenario!A14,Scenario!C14)</f>
        <v>TS005
Validate the working of 'Search' functionality</v>
      </c>
      <c r="C16" s="6" t="s">
        <v>755</v>
      </c>
      <c r="D16" s="20" t="s">
        <v>701</v>
      </c>
      <c r="E16" s="8" t="s">
        <v>709</v>
      </c>
      <c r="F16" s="9" t="s">
        <v>756</v>
      </c>
      <c r="G16" s="8" t="s">
        <v>757</v>
      </c>
      <c r="H16" s="6"/>
      <c r="I16" s="6"/>
      <c r="J16" s="6"/>
      <c r="K16" s="6"/>
    </row>
    <row r="17" ht="114" spans="1:11">
      <c r="A17" s="17" t="s">
        <v>758</v>
      </c>
      <c r="B17" s="7" t="str">
        <f>_xlfn.TEXTJOIN(CHAR(10),,Scenario!A14,Scenario!C14)</f>
        <v>TS005
Validate the working of 'Search' functionality</v>
      </c>
      <c r="C17" s="6" t="s">
        <v>759</v>
      </c>
      <c r="D17" s="20" t="s">
        <v>760</v>
      </c>
      <c r="E17" s="8" t="s">
        <v>761</v>
      </c>
      <c r="F17" s="10" t="s">
        <v>762</v>
      </c>
      <c r="G17" s="8" t="s">
        <v>763</v>
      </c>
      <c r="H17" s="6"/>
      <c r="I17" s="6"/>
      <c r="J17" s="6"/>
      <c r="K17" s="6"/>
    </row>
    <row r="18" ht="28.5" spans="1:11">
      <c r="A18" s="17" t="s">
        <v>764</v>
      </c>
      <c r="B18" s="7" t="str">
        <f>_xlfn.TEXTJOIN(CHAR(10),,Scenario!A14,Scenario!C14)</f>
        <v>TS005
Validate the working of 'Search' functionality</v>
      </c>
      <c r="C18" s="6" t="s">
        <v>765</v>
      </c>
      <c r="D18" s="20" t="s">
        <v>760</v>
      </c>
      <c r="E18" s="8" t="s">
        <v>766</v>
      </c>
      <c r="F18" s="9" t="s">
        <v>173</v>
      </c>
      <c r="G18" s="8" t="s">
        <v>767</v>
      </c>
      <c r="H18" s="6"/>
      <c r="I18" s="6"/>
      <c r="J18" s="6"/>
      <c r="K18" s="6"/>
    </row>
    <row r="19" ht="28.5" spans="1:11">
      <c r="A19" s="17" t="s">
        <v>768</v>
      </c>
      <c r="B19" s="7" t="str">
        <f>_xlfn.TEXTJOIN(CHAR(10),,Scenario!A14,Scenario!C14)</f>
        <v>TS005
Validate the working of 'Search' functionality</v>
      </c>
      <c r="C19" s="6" t="s">
        <v>769</v>
      </c>
      <c r="D19" s="20" t="s">
        <v>760</v>
      </c>
      <c r="E19" s="8" t="s">
        <v>770</v>
      </c>
      <c r="F19" s="9" t="s">
        <v>173</v>
      </c>
      <c r="G19" s="8" t="s">
        <v>771</v>
      </c>
      <c r="H19" s="6"/>
      <c r="I19" s="6"/>
      <c r="J19" s="6"/>
      <c r="K19" s="6"/>
    </row>
    <row r="20" ht="57" spans="1:11">
      <c r="A20" s="17" t="s">
        <v>772</v>
      </c>
      <c r="B20" s="7" t="str">
        <f>_xlfn.TEXTJOIN(CHAR(10),,Scenario!A14,Scenario!C14)</f>
        <v>TS005
Validate the working of 'Search' functionality</v>
      </c>
      <c r="C20" s="6" t="s">
        <v>773</v>
      </c>
      <c r="D20" s="20" t="s">
        <v>760</v>
      </c>
      <c r="E20" s="8" t="s">
        <v>774</v>
      </c>
      <c r="F20" s="9" t="s">
        <v>775</v>
      </c>
      <c r="G20" s="8" t="s">
        <v>776</v>
      </c>
      <c r="H20" s="6"/>
      <c r="I20" s="6"/>
      <c r="J20" s="6"/>
      <c r="K20" s="6"/>
    </row>
    <row r="21" ht="71.25" spans="1:11">
      <c r="A21" s="17" t="s">
        <v>777</v>
      </c>
      <c r="B21" s="7" t="str">
        <f>_xlfn.TEXTJOIN(CHAR(10),,Scenario!A14,Scenario!C14)</f>
        <v>TS005
Validate the working of 'Search' functionality</v>
      </c>
      <c r="C21" s="6" t="s">
        <v>778</v>
      </c>
      <c r="D21" s="20" t="s">
        <v>760</v>
      </c>
      <c r="E21" s="8" t="s">
        <v>779</v>
      </c>
      <c r="F21" s="9">
        <v>15</v>
      </c>
      <c r="G21" s="8" t="s">
        <v>780</v>
      </c>
      <c r="H21" s="6"/>
      <c r="I21" s="6"/>
      <c r="J21" s="6"/>
      <c r="K21" s="6"/>
    </row>
    <row r="22" ht="71.25" spans="1:11">
      <c r="A22" s="17" t="s">
        <v>781</v>
      </c>
      <c r="B22" s="7" t="str">
        <f>_xlfn.TEXTJOIN(CHAR(10),,Scenario!A14,Scenario!C14)</f>
        <v>TS005
Validate the working of 'Search' functionality</v>
      </c>
      <c r="C22" s="6" t="s">
        <v>782</v>
      </c>
      <c r="D22" s="8" t="s">
        <v>783</v>
      </c>
      <c r="E22" s="8" t="s">
        <v>779</v>
      </c>
      <c r="F22" s="9" t="s">
        <v>173</v>
      </c>
      <c r="G22" s="8" t="s">
        <v>784</v>
      </c>
      <c r="H22" s="6"/>
      <c r="I22" s="6"/>
      <c r="J22" s="6"/>
      <c r="K22" s="6"/>
    </row>
    <row r="23" ht="71.25" spans="1:11">
      <c r="A23" s="17" t="s">
        <v>785</v>
      </c>
      <c r="B23" s="7" t="str">
        <f>_xlfn.TEXTJOIN(CHAR(10),,Scenario!A14,Scenario!C14)</f>
        <v>TS005
Validate the working of 'Search' functionality</v>
      </c>
      <c r="C23" s="6" t="s">
        <v>786</v>
      </c>
      <c r="D23" s="8" t="s">
        <v>787</v>
      </c>
      <c r="E23" s="8" t="s">
        <v>779</v>
      </c>
      <c r="F23" s="9" t="s">
        <v>173</v>
      </c>
      <c r="G23" s="8" t="s">
        <v>788</v>
      </c>
      <c r="H23" s="6"/>
      <c r="I23" s="6"/>
      <c r="J23" s="6"/>
      <c r="K23" s="6"/>
    </row>
    <row r="24" ht="42.75" spans="1:11">
      <c r="A24" s="17" t="s">
        <v>789</v>
      </c>
      <c r="B24" s="7" t="str">
        <f>_xlfn.TEXTJOIN(CHAR(10),,Scenario!A14,Scenario!C14)</f>
        <v>TS005
Validate the working of 'Search' functionality</v>
      </c>
      <c r="C24" s="6" t="s">
        <v>790</v>
      </c>
      <c r="D24" s="20" t="s">
        <v>760</v>
      </c>
      <c r="E24" s="8" t="s">
        <v>791</v>
      </c>
      <c r="F24" s="9" t="s">
        <v>173</v>
      </c>
      <c r="G24" s="8" t="s">
        <v>792</v>
      </c>
      <c r="H24" s="6"/>
      <c r="I24" s="6"/>
      <c r="J24" s="6"/>
      <c r="K24" s="6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8"/>
  <sheetViews>
    <sheetView workbookViewId="0">
      <selection activeCell="K17" sqref="K17"/>
    </sheetView>
  </sheetViews>
  <sheetFormatPr defaultColWidth="9" defaultRowHeight="14.25" outlineLevelRow="7"/>
  <cols>
    <col min="1" max="1" width="15" style="12" customWidth="1"/>
    <col min="2" max="2" width="54.75" style="1" customWidth="1"/>
    <col min="3" max="3" width="39.5" customWidth="1"/>
    <col min="4" max="4" width="44.375" customWidth="1"/>
    <col min="5" max="5" width="14" customWidth="1"/>
    <col min="6" max="6" width="15.875" customWidth="1"/>
    <col min="7" max="7" width="15.125" customWidth="1"/>
    <col min="8" max="8" width="13.375" customWidth="1"/>
    <col min="9" max="9" width="7.75" customWidth="1"/>
    <col min="10" max="10" width="7.125" customWidth="1"/>
    <col min="11" max="11" width="10.875" customWidth="1"/>
  </cols>
  <sheetData>
    <row r="1" ht="30" spans="1:11">
      <c r="A1" s="4" t="s">
        <v>160</v>
      </c>
      <c r="B1" s="5" t="s">
        <v>161</v>
      </c>
      <c r="C1" s="5" t="s">
        <v>162</v>
      </c>
      <c r="D1" s="4" t="s">
        <v>163</v>
      </c>
      <c r="E1" s="5" t="s">
        <v>164</v>
      </c>
      <c r="F1" s="4" t="s">
        <v>165</v>
      </c>
      <c r="G1" s="5" t="s">
        <v>166</v>
      </c>
      <c r="H1" s="4" t="s">
        <v>24</v>
      </c>
      <c r="I1" s="4" t="s">
        <v>26</v>
      </c>
      <c r="J1" s="4" t="s">
        <v>167</v>
      </c>
      <c r="K1" s="4" t="s">
        <v>168</v>
      </c>
    </row>
    <row r="2" ht="28.5" spans="1:11">
      <c r="A2" s="17" t="s">
        <v>793</v>
      </c>
      <c r="B2" s="7" t="str">
        <f>_xlfn.TEXTJOIN(CHAR(10),,Scenario!A15,Scenario!C15)</f>
        <v>TS006
Validate the working of 'Product compare' functionality</v>
      </c>
      <c r="C2" s="6" t="s">
        <v>794</v>
      </c>
      <c r="D2" s="6" t="s">
        <v>795</v>
      </c>
      <c r="E2" s="6"/>
      <c r="F2" s="6"/>
      <c r="G2" s="6"/>
      <c r="H2" s="6"/>
      <c r="I2" s="6"/>
      <c r="J2" s="6"/>
      <c r="K2" s="6"/>
    </row>
    <row r="3" ht="28.5" spans="1:11">
      <c r="A3" s="17" t="s">
        <v>796</v>
      </c>
      <c r="B3" s="7" t="str">
        <f>_xlfn.TEXTJOIN(CHAR(10),,Scenario!A15,Scenario!C15)</f>
        <v>TS006
Validate the working of 'Product compare' functionality</v>
      </c>
      <c r="C3" s="6" t="s">
        <v>797</v>
      </c>
      <c r="D3" s="6" t="s">
        <v>795</v>
      </c>
      <c r="E3" s="6"/>
      <c r="F3" s="6"/>
      <c r="G3" s="6"/>
      <c r="H3" s="6"/>
      <c r="I3" s="6"/>
      <c r="J3" s="6"/>
      <c r="K3" s="6"/>
    </row>
    <row r="4" ht="28.5" spans="1:11">
      <c r="A4" s="17" t="s">
        <v>798</v>
      </c>
      <c r="B4" s="7" t="str">
        <f>_xlfn.TEXTJOIN(CHAR(10),,Scenario!A15,Scenario!C15)</f>
        <v>TS006
Validate the working of 'Product compare' functionality</v>
      </c>
      <c r="C4" s="6" t="s">
        <v>799</v>
      </c>
      <c r="D4" s="6" t="s">
        <v>800</v>
      </c>
      <c r="E4" s="6"/>
      <c r="F4" s="6"/>
      <c r="G4" s="6"/>
      <c r="H4" s="6"/>
      <c r="I4" s="6"/>
      <c r="J4" s="6"/>
      <c r="K4" s="6"/>
    </row>
    <row r="5" ht="28.5" spans="1:11">
      <c r="A5" s="17" t="s">
        <v>801</v>
      </c>
      <c r="B5" s="7" t="str">
        <f>_xlfn.TEXTJOIN(CHAR(10),,Scenario!A15,Scenario!C15)</f>
        <v>TS006
Validate the working of 'Product compare' functionality</v>
      </c>
      <c r="C5" s="6" t="s">
        <v>802</v>
      </c>
      <c r="D5" s="6" t="s">
        <v>800</v>
      </c>
      <c r="E5" s="6"/>
      <c r="F5" s="6"/>
      <c r="G5" s="6"/>
      <c r="H5" s="6"/>
      <c r="I5" s="6"/>
      <c r="J5" s="6"/>
      <c r="K5" s="6"/>
    </row>
    <row r="6" ht="28.5" spans="1:11">
      <c r="A6" s="17" t="s">
        <v>803</v>
      </c>
      <c r="B6" s="7" t="str">
        <f>_xlfn.TEXTJOIN(CHAR(10),,Scenario!A15,Scenario!C15)</f>
        <v>TS006
Validate the working of 'Product compare' functionality</v>
      </c>
      <c r="C6" s="6" t="s">
        <v>804</v>
      </c>
      <c r="D6" s="6" t="s">
        <v>795</v>
      </c>
      <c r="E6" s="6"/>
      <c r="F6" s="6"/>
      <c r="G6" s="6"/>
      <c r="H6" s="6"/>
      <c r="I6" s="6"/>
      <c r="J6" s="6"/>
      <c r="K6" s="6"/>
    </row>
    <row r="7" ht="28.5" spans="1:11">
      <c r="A7" s="17" t="s">
        <v>805</v>
      </c>
      <c r="B7" s="7" t="str">
        <f>_xlfn.TEXTJOIN(CHAR(10),,Scenario!A15,Scenario!C15)</f>
        <v>TS006
Validate the working of 'Product compare' functionality</v>
      </c>
      <c r="C7" s="6" t="s">
        <v>806</v>
      </c>
      <c r="D7" s="6" t="s">
        <v>795</v>
      </c>
      <c r="E7" s="6"/>
      <c r="F7" s="6"/>
      <c r="G7" s="6"/>
      <c r="H7" s="6"/>
      <c r="I7" s="6"/>
      <c r="J7" s="6"/>
      <c r="K7" s="6"/>
    </row>
    <row r="8" ht="28.5" spans="1:11">
      <c r="A8" s="17" t="s">
        <v>807</v>
      </c>
      <c r="B8" s="7" t="str">
        <f>_xlfn.TEXTJOIN(CHAR(10),,Scenario!A15,Scenario!C15)</f>
        <v>TS006
Validate the working of 'Product compare' functionality</v>
      </c>
      <c r="C8" s="6" t="s">
        <v>808</v>
      </c>
      <c r="D8" s="6" t="s">
        <v>795</v>
      </c>
      <c r="E8" s="6"/>
      <c r="F8" s="6"/>
      <c r="G8" s="6"/>
      <c r="H8" s="6"/>
      <c r="I8" s="6"/>
      <c r="J8" s="6"/>
      <c r="K8" s="6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26"/>
  <sheetViews>
    <sheetView topLeftCell="B1" workbookViewId="0">
      <selection activeCell="K17" sqref="K17"/>
    </sheetView>
  </sheetViews>
  <sheetFormatPr defaultColWidth="9" defaultRowHeight="14.25"/>
  <cols>
    <col min="1" max="1" width="18.5666666666667" customWidth="1"/>
    <col min="2" max="2" width="49" style="12" customWidth="1"/>
    <col min="3" max="3" width="44.5" style="34" customWidth="1"/>
    <col min="4" max="4" width="30.875" customWidth="1"/>
    <col min="5" max="5" width="52.375" style="34" customWidth="1"/>
    <col min="6" max="6" width="30.4333333333333" customWidth="1"/>
    <col min="7" max="7" width="73.25" style="34" customWidth="1"/>
    <col min="8" max="8" width="35" customWidth="1"/>
    <col min="9" max="9" width="7.75" customWidth="1"/>
    <col min="10" max="10" width="7.125" customWidth="1"/>
    <col min="11" max="11" width="10.875" customWidth="1"/>
  </cols>
  <sheetData>
    <row r="1" s="12" customFormat="1" ht="15" spans="1:11">
      <c r="A1" s="4" t="s">
        <v>160</v>
      </c>
      <c r="B1" s="4" t="s">
        <v>161</v>
      </c>
      <c r="C1" s="5" t="s">
        <v>162</v>
      </c>
      <c r="D1" s="4" t="s">
        <v>163</v>
      </c>
      <c r="E1" s="5" t="s">
        <v>164</v>
      </c>
      <c r="F1" s="4" t="s">
        <v>165</v>
      </c>
      <c r="G1" s="5" t="s">
        <v>166</v>
      </c>
      <c r="H1" s="4" t="s">
        <v>24</v>
      </c>
      <c r="I1" s="4" t="s">
        <v>26</v>
      </c>
      <c r="J1" s="4" t="s">
        <v>167</v>
      </c>
      <c r="K1" s="4" t="s">
        <v>168</v>
      </c>
    </row>
    <row r="2" ht="142.5" spans="1:11">
      <c r="A2" s="6" t="s">
        <v>809</v>
      </c>
      <c r="B2" s="7" t="str">
        <f>_xlfn.TEXTJOIN(CHAR(10),,Scenario!A20,Scenario!C20)</f>
        <v>TS011
Validate the working of 'Home page' functionality</v>
      </c>
      <c r="C2" s="6" t="s">
        <v>810</v>
      </c>
      <c r="D2" s="14" t="s">
        <v>811</v>
      </c>
      <c r="E2" s="15" t="s">
        <v>812</v>
      </c>
      <c r="F2" s="6" t="s">
        <v>813</v>
      </c>
      <c r="G2" s="15" t="s">
        <v>814</v>
      </c>
      <c r="H2" s="6"/>
      <c r="I2" s="6"/>
      <c r="J2" s="6"/>
      <c r="K2" s="6"/>
    </row>
    <row r="3" ht="71.25" spans="1:11">
      <c r="A3" s="6" t="s">
        <v>815</v>
      </c>
      <c r="B3" s="7" t="str">
        <f>_xlfn.TEXTJOIN(CHAR(10),,Scenario!A20,Scenario!C20)</f>
        <v>TS011
Validate the working of 'Home page' functionality</v>
      </c>
      <c r="C3" s="6" t="s">
        <v>816</v>
      </c>
      <c r="D3" s="14" t="s">
        <v>811</v>
      </c>
      <c r="E3" s="8" t="s">
        <v>817</v>
      </c>
      <c r="F3" s="6" t="s">
        <v>818</v>
      </c>
      <c r="G3" s="15" t="s">
        <v>819</v>
      </c>
      <c r="H3" s="6"/>
      <c r="I3" s="6"/>
      <c r="J3" s="6"/>
      <c r="K3" s="6"/>
    </row>
    <row r="4" ht="42.75" spans="1:11">
      <c r="A4" s="6" t="s">
        <v>820</v>
      </c>
      <c r="B4" s="7" t="str">
        <f>_xlfn.TEXTJOIN(CHAR(10),,Scenario!A20,Scenario!C20)</f>
        <v>TS011
Validate the working of 'Home page' functionality</v>
      </c>
      <c r="C4" s="8" t="s">
        <v>821</v>
      </c>
      <c r="D4" s="14" t="s">
        <v>811</v>
      </c>
      <c r="E4" s="8" t="s">
        <v>822</v>
      </c>
      <c r="F4" s="6" t="s">
        <v>813</v>
      </c>
      <c r="G4" s="15" t="s">
        <v>823</v>
      </c>
      <c r="H4" s="6"/>
      <c r="I4" s="6"/>
      <c r="J4" s="6"/>
      <c r="K4" s="6"/>
    </row>
    <row r="5" ht="28.5" spans="1:11">
      <c r="A5" s="6" t="s">
        <v>824</v>
      </c>
      <c r="B5" s="7" t="str">
        <f>_xlfn.TEXTJOIN(CHAR(10),,Scenario!A20,Scenario!C20)</f>
        <v>TS011
Validate the working of 'Home page' functionality</v>
      </c>
      <c r="C5" s="6" t="s">
        <v>825</v>
      </c>
      <c r="D5" s="14" t="s">
        <v>811</v>
      </c>
      <c r="E5" s="6" t="s">
        <v>826</v>
      </c>
      <c r="F5" s="6" t="s">
        <v>813</v>
      </c>
      <c r="G5" s="14" t="s">
        <v>827</v>
      </c>
      <c r="H5" s="6"/>
      <c r="I5" s="6"/>
      <c r="J5" s="6"/>
      <c r="K5" s="6"/>
    </row>
    <row r="6" ht="28.5" spans="1:11">
      <c r="A6" s="6" t="s">
        <v>828</v>
      </c>
      <c r="B6" s="7" t="str">
        <f>_xlfn.TEXTJOIN(CHAR(10),,Scenario!A20,Scenario!C20)</f>
        <v>TS011
Validate the working of 'Home page' functionality</v>
      </c>
      <c r="C6" s="6" t="s">
        <v>829</v>
      </c>
      <c r="D6" s="14" t="s">
        <v>811</v>
      </c>
      <c r="E6" s="8" t="s">
        <v>830</v>
      </c>
      <c r="F6" s="6" t="s">
        <v>813</v>
      </c>
      <c r="G6" s="14" t="s">
        <v>831</v>
      </c>
      <c r="H6" s="6"/>
      <c r="I6" s="6"/>
      <c r="J6" s="6"/>
      <c r="K6" s="6"/>
    </row>
    <row r="7" ht="28.5" spans="1:11">
      <c r="A7" s="6" t="s">
        <v>832</v>
      </c>
      <c r="B7" s="7" t="str">
        <f>_xlfn.TEXTJOIN(CHAR(10),,Scenario!A20,Scenario!C20)</f>
        <v>TS011
Validate the working of 'Home page' functionality</v>
      </c>
      <c r="C7" s="6" t="s">
        <v>833</v>
      </c>
      <c r="D7" s="14" t="s">
        <v>811</v>
      </c>
      <c r="E7" s="8" t="s">
        <v>834</v>
      </c>
      <c r="F7" s="6" t="s">
        <v>813</v>
      </c>
      <c r="G7" s="15" t="s">
        <v>835</v>
      </c>
      <c r="H7" s="6"/>
      <c r="I7" s="6"/>
      <c r="J7" s="6"/>
      <c r="K7" s="6"/>
    </row>
    <row r="8" ht="28.5" spans="1:11">
      <c r="A8" s="6" t="s">
        <v>836</v>
      </c>
      <c r="B8" s="7" t="str">
        <f>_xlfn.TEXTJOIN(CHAR(10),,Scenario!A20,Scenario!C20)</f>
        <v>TS011
Validate the working of 'Home page' functionality</v>
      </c>
      <c r="C8" s="6" t="s">
        <v>837</v>
      </c>
      <c r="D8" s="14" t="s">
        <v>811</v>
      </c>
      <c r="E8" s="8" t="s">
        <v>838</v>
      </c>
      <c r="F8" s="6" t="s">
        <v>839</v>
      </c>
      <c r="G8" s="14" t="s">
        <v>840</v>
      </c>
      <c r="H8" s="6"/>
      <c r="I8" s="6"/>
      <c r="J8" s="6"/>
      <c r="K8" s="6"/>
    </row>
    <row r="9" ht="114" spans="1:11">
      <c r="A9" s="6" t="s">
        <v>841</v>
      </c>
      <c r="B9" s="7" t="str">
        <f>_xlfn.TEXTJOIN(CHAR(10),,Scenario!A20,Scenario!C20)</f>
        <v>TS011
Validate the working of 'Home page' functionality</v>
      </c>
      <c r="C9" s="6" t="s">
        <v>842</v>
      </c>
      <c r="D9" s="14" t="s">
        <v>811</v>
      </c>
      <c r="E9" s="6" t="s">
        <v>843</v>
      </c>
      <c r="F9" s="6" t="s">
        <v>813</v>
      </c>
      <c r="G9" s="35" t="s">
        <v>844</v>
      </c>
      <c r="H9" s="6"/>
      <c r="I9" s="6"/>
      <c r="J9" s="6"/>
      <c r="K9" s="6"/>
    </row>
    <row r="10" ht="28.5" spans="1:11">
      <c r="A10" s="6" t="s">
        <v>845</v>
      </c>
      <c r="B10" s="7" t="str">
        <f>_xlfn.TEXTJOIN(CHAR(10),,Scenario!A20,Scenario!C20)</f>
        <v>TS011
Validate the working of 'Home page' functionality</v>
      </c>
      <c r="C10" s="6" t="s">
        <v>846</v>
      </c>
      <c r="D10" s="14" t="s">
        <v>811</v>
      </c>
      <c r="E10" s="15" t="s">
        <v>847</v>
      </c>
      <c r="F10" s="6" t="s">
        <v>813</v>
      </c>
      <c r="G10" s="15" t="s">
        <v>848</v>
      </c>
      <c r="H10" s="6"/>
      <c r="I10" s="6"/>
      <c r="J10" s="6"/>
      <c r="K10" s="6"/>
    </row>
    <row r="11" ht="28.5" spans="1:11">
      <c r="A11" s="6" t="s">
        <v>849</v>
      </c>
      <c r="B11" s="7" t="str">
        <f>_xlfn.TEXTJOIN(CHAR(10),,Scenario!A20,Scenario!C20)</f>
        <v>TS011
Validate the working of 'Home page' functionality</v>
      </c>
      <c r="C11" s="15" t="s">
        <v>850</v>
      </c>
      <c r="D11" s="14" t="s">
        <v>811</v>
      </c>
      <c r="E11" s="15" t="s">
        <v>851</v>
      </c>
      <c r="F11" s="6" t="s">
        <v>852</v>
      </c>
      <c r="G11" s="14" t="s">
        <v>840</v>
      </c>
      <c r="H11" s="6"/>
      <c r="I11" s="6"/>
      <c r="J11" s="6"/>
      <c r="K11" s="6"/>
    </row>
    <row r="12" ht="71.25" spans="1:11">
      <c r="A12" s="6" t="s">
        <v>853</v>
      </c>
      <c r="B12" s="7" t="str">
        <f>_xlfn.TEXTJOIN(CHAR(10),,Scenario!A20,Scenario!C20)</f>
        <v>TS011
Validate the working of 'Home page' functionality</v>
      </c>
      <c r="C12" s="15" t="s">
        <v>854</v>
      </c>
      <c r="D12" s="14" t="s">
        <v>811</v>
      </c>
      <c r="E12" s="15" t="s">
        <v>855</v>
      </c>
      <c r="F12" s="6" t="s">
        <v>813</v>
      </c>
      <c r="G12" s="15" t="s">
        <v>856</v>
      </c>
      <c r="H12" s="6"/>
      <c r="I12" s="6"/>
      <c r="J12" s="6"/>
      <c r="K12" s="6"/>
    </row>
    <row r="13" spans="1:11">
      <c r="B13" s="1"/>
      <c r="D13" s="13"/>
    </row>
    <row r="14" spans="1:11">
      <c r="B14" s="1"/>
      <c r="D14" s="13"/>
    </row>
    <row r="15" spans="1:11">
      <c r="B15" s="1"/>
    </row>
    <row r="16" spans="1:11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7"/>
  <sheetViews>
    <sheetView zoomScale="115" zoomScaleNormal="115" topLeftCell="C1" workbookViewId="0">
      <selection activeCell="K17" sqref="K17"/>
    </sheetView>
  </sheetViews>
  <sheetFormatPr defaultColWidth="9" defaultRowHeight="14.25"/>
  <cols>
    <col min="1" max="1" width="13.125" customWidth="1"/>
    <col min="2" max="2" width="30.8833333333333" style="12" customWidth="1"/>
    <col min="3" max="3" width="45.25" customWidth="1"/>
    <col min="4" max="4" width="30.875" customWidth="1"/>
    <col min="5" max="5" width="59.9916666666667" customWidth="1"/>
    <col min="6" max="6" width="18.75" customWidth="1"/>
    <col min="7" max="7" width="66.375" customWidth="1"/>
    <col min="8" max="8" width="13.375" customWidth="1"/>
    <col min="9" max="9" width="7.75" customWidth="1"/>
    <col min="10" max="10" width="7.125" customWidth="1"/>
    <col min="11" max="11" width="10.875" customWidth="1"/>
  </cols>
  <sheetData>
    <row r="1" ht="15" spans="1:11">
      <c r="A1" s="4" t="s">
        <v>160</v>
      </c>
      <c r="B1" s="4" t="s">
        <v>161</v>
      </c>
      <c r="C1" s="5" t="s">
        <v>162</v>
      </c>
      <c r="D1" s="4" t="s">
        <v>163</v>
      </c>
      <c r="E1" s="5" t="s">
        <v>164</v>
      </c>
      <c r="F1" s="4" t="s">
        <v>165</v>
      </c>
      <c r="G1" s="5" t="s">
        <v>166</v>
      </c>
      <c r="H1" s="4" t="s">
        <v>24</v>
      </c>
      <c r="I1" s="4" t="s">
        <v>26</v>
      </c>
      <c r="J1" s="4" t="s">
        <v>167</v>
      </c>
      <c r="K1" s="4" t="s">
        <v>168</v>
      </c>
    </row>
    <row r="2" ht="69" customHeight="1" spans="1:11">
      <c r="A2" s="6" t="s">
        <v>857</v>
      </c>
      <c r="B2" s="7" t="str">
        <f>_xlfn.TEXTJOIN(CHAR(10),,Scenario!A40,Scenario!C40)</f>
        <v>TS031
Validate the working of 'Top Menu' options' functionality</v>
      </c>
      <c r="C2" s="6" t="s">
        <v>858</v>
      </c>
      <c r="D2" s="15" t="s">
        <v>859</v>
      </c>
      <c r="E2" s="15" t="s">
        <v>860</v>
      </c>
      <c r="F2" s="6" t="s">
        <v>813</v>
      </c>
      <c r="G2" s="8" t="s">
        <v>861</v>
      </c>
      <c r="H2" s="6"/>
      <c r="I2" s="6"/>
      <c r="J2" s="6"/>
      <c r="K2" s="6"/>
    </row>
    <row r="3" ht="128.25" spans="1:11">
      <c r="A3" s="6" t="s">
        <v>862</v>
      </c>
      <c r="B3" s="7" t="str">
        <f>_xlfn.TEXTJOIN(CHAR(10),,Scenario!A40,Scenario!C40)</f>
        <v>TS031
Validate the working of 'Top Menu' options' functionality</v>
      </c>
      <c r="C3" s="6" t="s">
        <v>863</v>
      </c>
      <c r="D3" s="14" t="s">
        <v>811</v>
      </c>
      <c r="E3" s="6" t="s">
        <v>864</v>
      </c>
      <c r="F3" s="6" t="s">
        <v>813</v>
      </c>
      <c r="G3" s="8" t="s">
        <v>865</v>
      </c>
      <c r="H3" s="6"/>
      <c r="I3" s="6"/>
      <c r="J3" s="6"/>
      <c r="K3" s="6"/>
    </row>
    <row r="4" ht="42.75" spans="1:11">
      <c r="A4" s="6" t="s">
        <v>866</v>
      </c>
      <c r="B4" s="7" t="str">
        <f>_xlfn.TEXTJOIN(CHAR(10),,Scenario!A40,Scenario!C40)</f>
        <v>TS031
Validate the working of 'Top Menu' options' functionality</v>
      </c>
      <c r="C4" s="6" t="s">
        <v>867</v>
      </c>
      <c r="D4" s="14" t="s">
        <v>811</v>
      </c>
      <c r="E4" s="8" t="s">
        <v>868</v>
      </c>
      <c r="F4" s="6" t="s">
        <v>869</v>
      </c>
      <c r="G4" s="6" t="s">
        <v>870</v>
      </c>
      <c r="H4" s="6"/>
      <c r="I4" s="6"/>
      <c r="J4" s="6"/>
      <c r="K4" s="6"/>
    </row>
    <row r="5" ht="42.75" spans="1:11">
      <c r="A5" s="6" t="s">
        <v>871</v>
      </c>
      <c r="B5" s="7" t="str">
        <f>_xlfn.TEXTJOIN(CHAR(10),,Scenario!A40,Scenario!C40)</f>
        <v>TS031
Validate the working of 'Top Menu' options' functionality</v>
      </c>
      <c r="C5" s="6" t="s">
        <v>872</v>
      </c>
      <c r="D5" s="14" t="s">
        <v>811</v>
      </c>
      <c r="E5" s="8" t="s">
        <v>873</v>
      </c>
      <c r="F5" s="6" t="s">
        <v>874</v>
      </c>
      <c r="G5" s="6" t="s">
        <v>875</v>
      </c>
      <c r="H5" s="6"/>
      <c r="I5" s="6"/>
      <c r="J5" s="6"/>
      <c r="K5" s="6"/>
    </row>
    <row r="6" ht="42.75" spans="1:11">
      <c r="A6" s="6" t="s">
        <v>876</v>
      </c>
      <c r="B6" s="7" t="str">
        <f>_xlfn.TEXTJOIN(CHAR(10),,Scenario!A40,Scenario!C40)</f>
        <v>TS031
Validate the working of 'Top Menu' options' functionality</v>
      </c>
      <c r="C6" s="6" t="s">
        <v>877</v>
      </c>
      <c r="D6" s="15" t="s">
        <v>878</v>
      </c>
      <c r="E6" s="8" t="s">
        <v>879</v>
      </c>
      <c r="F6" s="8" t="s">
        <v>880</v>
      </c>
      <c r="G6" s="6" t="s">
        <v>881</v>
      </c>
      <c r="H6" s="6"/>
      <c r="I6" s="6"/>
      <c r="J6" s="6"/>
      <c r="K6" s="6"/>
    </row>
    <row r="7" spans="1:11">
      <c r="B7"/>
    </row>
    <row r="8" spans="1:11">
      <c r="B8"/>
    </row>
    <row r="9" spans="1:11">
      <c r="B9"/>
    </row>
    <row r="10" spans="1:11">
      <c r="B10"/>
    </row>
    <row r="11" spans="1:11">
      <c r="B11"/>
    </row>
    <row r="12" spans="1:11">
      <c r="B12"/>
    </row>
    <row r="13" spans="1:11">
      <c r="B13"/>
    </row>
    <row r="14" spans="1:11">
      <c r="B14"/>
    </row>
    <row r="15" spans="1:11">
      <c r="B15"/>
    </row>
    <row r="16" spans="1:11">
      <c r="B16"/>
    </row>
    <row r="17" spans="2:2">
      <c r="B17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39"/>
  <sheetViews>
    <sheetView zoomScale="70" zoomScaleNormal="70" topLeftCell="A10" workbookViewId="0">
      <selection activeCell="K17" sqref="K17"/>
    </sheetView>
  </sheetViews>
  <sheetFormatPr defaultColWidth="9" defaultRowHeight="14.25"/>
  <cols>
    <col min="1" max="1" width="13.125" customWidth="1"/>
    <col min="2" max="2" width="42.625" customWidth="1"/>
    <col min="3" max="3" width="52.25" style="13" customWidth="1"/>
    <col min="4" max="4" width="38.3833333333333" customWidth="1"/>
    <col min="5" max="5" width="53.025" style="13" customWidth="1"/>
    <col min="6" max="6" width="24.875" style="12" customWidth="1"/>
    <col min="7" max="7" width="72.85" style="3" customWidth="1"/>
    <col min="8" max="8" width="19.2916666666667" style="2" customWidth="1"/>
    <col min="9" max="9" width="7.75" customWidth="1"/>
    <col min="10" max="10" width="10.8916666666667" customWidth="1"/>
    <col min="11" max="11" width="41.125" customWidth="1"/>
  </cols>
  <sheetData>
    <row r="1" ht="15" spans="1:11">
      <c r="A1" s="4" t="s">
        <v>160</v>
      </c>
      <c r="B1" s="4" t="s">
        <v>161</v>
      </c>
      <c r="C1" s="5" t="s">
        <v>162</v>
      </c>
      <c r="D1" s="4" t="s">
        <v>163</v>
      </c>
      <c r="E1" s="5" t="s">
        <v>164</v>
      </c>
      <c r="F1" s="4" t="s">
        <v>165</v>
      </c>
      <c r="G1" s="5" t="s">
        <v>166</v>
      </c>
      <c r="H1" s="5" t="s">
        <v>24</v>
      </c>
      <c r="I1" s="4" t="s">
        <v>26</v>
      </c>
      <c r="J1" s="4" t="s">
        <v>167</v>
      </c>
      <c r="K1" s="4" t="s">
        <v>168</v>
      </c>
    </row>
    <row r="2" ht="114" spans="1:11">
      <c r="A2" s="6" t="s">
        <v>882</v>
      </c>
      <c r="B2" s="7" t="str">
        <f>_xlfn.TEXTJOIN(CHAR(10),,Scenario!$A$39,Scenario!$C$39)</f>
        <v>TS030
Validate the working of 'Header' options' functionality</v>
      </c>
      <c r="C2" s="14" t="s">
        <v>883</v>
      </c>
      <c r="D2" s="15" t="s">
        <v>884</v>
      </c>
      <c r="E2" s="15" t="s">
        <v>885</v>
      </c>
      <c r="F2" s="17" t="s">
        <v>813</v>
      </c>
      <c r="G2" s="10" t="s">
        <v>886</v>
      </c>
      <c r="H2" s="8"/>
      <c r="I2" s="6"/>
      <c r="J2" s="6"/>
      <c r="K2" s="6"/>
    </row>
    <row r="3" ht="28.5" spans="1:11">
      <c r="A3" s="6" t="s">
        <v>887</v>
      </c>
      <c r="B3" s="7" t="str">
        <f>_xlfn.TEXTJOIN(CHAR(10),,Scenario!$A$39,Scenario!$C$39)</f>
        <v>TS030
Validate the working of 'Header' options' functionality</v>
      </c>
      <c r="C3" s="14" t="s">
        <v>888</v>
      </c>
      <c r="D3" s="15" t="s">
        <v>884</v>
      </c>
      <c r="E3" s="15" t="s">
        <v>889</v>
      </c>
      <c r="F3" s="17" t="s">
        <v>813</v>
      </c>
      <c r="G3" s="9" t="s">
        <v>890</v>
      </c>
      <c r="H3" s="8"/>
      <c r="I3" s="6"/>
      <c r="J3" s="6"/>
      <c r="K3" s="6"/>
    </row>
    <row r="4" ht="28.5" spans="1:11">
      <c r="A4" s="6" t="s">
        <v>891</v>
      </c>
      <c r="B4" s="7" t="str">
        <f>_xlfn.TEXTJOIN(CHAR(10),,Scenario!$A$39,Scenario!$C$39)</f>
        <v>TS030
Validate the working of 'Header' options' functionality</v>
      </c>
      <c r="C4" s="14" t="s">
        <v>892</v>
      </c>
      <c r="D4" s="14" t="s">
        <v>811</v>
      </c>
      <c r="E4" s="15" t="s">
        <v>893</v>
      </c>
      <c r="F4" s="17" t="s">
        <v>813</v>
      </c>
      <c r="G4" s="9" t="s">
        <v>894</v>
      </c>
      <c r="H4" s="8"/>
      <c r="I4" s="6"/>
      <c r="J4" s="6"/>
      <c r="K4" s="6"/>
    </row>
    <row r="5" ht="28.5" spans="1:11">
      <c r="A5" s="6" t="s">
        <v>895</v>
      </c>
      <c r="B5" s="7" t="str">
        <f>_xlfn.TEXTJOIN(CHAR(10),,Scenario!$A$39,Scenario!$C$39)</f>
        <v>TS030
Validate the working of 'Header' options' functionality</v>
      </c>
      <c r="C5" s="14" t="s">
        <v>896</v>
      </c>
      <c r="D5" s="14" t="s">
        <v>811</v>
      </c>
      <c r="E5" s="14" t="s">
        <v>897</v>
      </c>
      <c r="F5" s="17" t="s">
        <v>813</v>
      </c>
      <c r="G5" s="9" t="s">
        <v>898</v>
      </c>
      <c r="H5" s="8"/>
      <c r="I5" s="6"/>
      <c r="J5" s="6"/>
      <c r="K5" s="6"/>
    </row>
    <row r="6" ht="28.5" spans="1:11">
      <c r="A6" s="6" t="s">
        <v>899</v>
      </c>
      <c r="B6" s="7" t="str">
        <f>_xlfn.TEXTJOIN(CHAR(10),,Scenario!$A$39,Scenario!$C$39)</f>
        <v>TS030
Validate the working of 'Header' options' functionality</v>
      </c>
      <c r="C6" s="14" t="s">
        <v>900</v>
      </c>
      <c r="D6" s="14" t="s">
        <v>811</v>
      </c>
      <c r="E6" s="28" t="s">
        <v>901</v>
      </c>
      <c r="F6" s="17" t="s">
        <v>813</v>
      </c>
      <c r="G6" s="9" t="s">
        <v>902</v>
      </c>
      <c r="H6" s="8"/>
      <c r="I6" s="6"/>
      <c r="J6" s="6"/>
      <c r="K6" s="6"/>
    </row>
    <row r="7" ht="28.5" spans="1:11">
      <c r="A7" s="6" t="s">
        <v>903</v>
      </c>
      <c r="B7" s="7" t="str">
        <f>_xlfn.TEXTJOIN(CHAR(10),,Scenario!$A$39,Scenario!$C$39)</f>
        <v>TS030
Validate the working of 'Header' options' functionality</v>
      </c>
      <c r="C7" s="28" t="s">
        <v>904</v>
      </c>
      <c r="D7" s="29" t="s">
        <v>811</v>
      </c>
      <c r="E7" s="28" t="s">
        <v>901</v>
      </c>
      <c r="F7" s="22" t="s">
        <v>813</v>
      </c>
      <c r="G7" s="24" t="s">
        <v>905</v>
      </c>
      <c r="H7" s="23"/>
      <c r="I7" s="21"/>
      <c r="J7" s="21"/>
      <c r="K7" s="23"/>
    </row>
    <row r="8" ht="28.5" spans="1:11">
      <c r="A8" s="6" t="s">
        <v>906</v>
      </c>
      <c r="B8" s="7" t="str">
        <f>_xlfn.TEXTJOIN(CHAR(10),,Scenario!$A$39,Scenario!$C$39)</f>
        <v>TS030
Validate the working of 'Header' options' functionality</v>
      </c>
      <c r="C8" s="28" t="s">
        <v>907</v>
      </c>
      <c r="D8" s="29" t="s">
        <v>811</v>
      </c>
      <c r="E8" s="28" t="s">
        <v>901</v>
      </c>
      <c r="F8" s="22" t="s">
        <v>813</v>
      </c>
      <c r="G8" s="24" t="s">
        <v>908</v>
      </c>
      <c r="H8" s="23"/>
      <c r="I8" s="21"/>
      <c r="J8" s="21"/>
      <c r="K8" s="21"/>
    </row>
    <row r="9" ht="28.5" spans="1:11">
      <c r="A9" s="6" t="s">
        <v>909</v>
      </c>
      <c r="B9" s="7" t="str">
        <f>_xlfn.TEXTJOIN(CHAR(10),,Scenario!$A$39,Scenario!$C$39)</f>
        <v>TS030
Validate the working of 'Header' options' functionality</v>
      </c>
      <c r="C9" s="14" t="s">
        <v>910</v>
      </c>
      <c r="D9" s="29" t="s">
        <v>911</v>
      </c>
      <c r="E9" s="28" t="s">
        <v>901</v>
      </c>
      <c r="F9" s="22" t="s">
        <v>813</v>
      </c>
      <c r="G9" s="24" t="s">
        <v>912</v>
      </c>
      <c r="H9" s="23"/>
      <c r="I9" s="21"/>
      <c r="J9" s="21"/>
      <c r="K9" s="23"/>
    </row>
    <row r="10" ht="28.5" spans="1:11">
      <c r="A10" s="6" t="s">
        <v>913</v>
      </c>
      <c r="B10" s="7" t="str">
        <f>_xlfn.TEXTJOIN(CHAR(10),,Scenario!$A$39,Scenario!$C$39)</f>
        <v>TS030
Validate the working of 'Header' options' functionality</v>
      </c>
      <c r="C10" s="28" t="s">
        <v>914</v>
      </c>
      <c r="D10" s="29" t="s">
        <v>911</v>
      </c>
      <c r="E10" s="29" t="s">
        <v>915</v>
      </c>
      <c r="F10" s="22" t="s">
        <v>813</v>
      </c>
      <c r="G10" s="24" t="s">
        <v>916</v>
      </c>
      <c r="H10" s="23"/>
      <c r="I10" s="21"/>
      <c r="J10" s="21"/>
      <c r="K10" s="23"/>
    </row>
    <row r="11" ht="28.5" spans="1:11">
      <c r="A11" s="6" t="s">
        <v>917</v>
      </c>
      <c r="B11" s="7" t="str">
        <f>_xlfn.TEXTJOIN(CHAR(10),,Scenario!$A$39,Scenario!$C$39)</f>
        <v>TS030
Validate the working of 'Header' options' functionality</v>
      </c>
      <c r="C11" s="28" t="s">
        <v>918</v>
      </c>
      <c r="D11" s="29" t="s">
        <v>911</v>
      </c>
      <c r="E11" s="29" t="s">
        <v>919</v>
      </c>
      <c r="F11" s="22" t="s">
        <v>813</v>
      </c>
      <c r="G11" s="24" t="s">
        <v>920</v>
      </c>
      <c r="H11" s="23"/>
      <c r="I11" s="21"/>
      <c r="J11" s="21"/>
      <c r="K11" s="23"/>
    </row>
    <row r="12" ht="28.5" spans="1:11">
      <c r="A12" s="6" t="s">
        <v>921</v>
      </c>
      <c r="B12" s="7" t="str">
        <f>_xlfn.TEXTJOIN(CHAR(10),,Scenario!$A$39,Scenario!$C$39)</f>
        <v>TS030
Validate the working of 'Header' options' functionality</v>
      </c>
      <c r="C12" s="28" t="s">
        <v>922</v>
      </c>
      <c r="D12" s="29" t="s">
        <v>911</v>
      </c>
      <c r="E12" s="29" t="s">
        <v>923</v>
      </c>
      <c r="F12" s="22" t="s">
        <v>813</v>
      </c>
      <c r="G12" s="24" t="s">
        <v>924</v>
      </c>
      <c r="H12" s="23"/>
      <c r="I12" s="21"/>
      <c r="J12" s="21"/>
      <c r="K12" s="23"/>
    </row>
    <row r="13" ht="28.5" spans="1:11">
      <c r="A13" s="6" t="s">
        <v>925</v>
      </c>
      <c r="B13" s="7" t="str">
        <f>_xlfn.TEXTJOIN(CHAR(10),,Scenario!$A$39,Scenario!$C$39)</f>
        <v>TS030
Validate the working of 'Header' options' functionality</v>
      </c>
      <c r="C13" s="28" t="s">
        <v>926</v>
      </c>
      <c r="D13" s="29" t="s">
        <v>911</v>
      </c>
      <c r="E13" s="29" t="s">
        <v>927</v>
      </c>
      <c r="F13" s="22" t="s">
        <v>813</v>
      </c>
      <c r="G13" s="24" t="s">
        <v>928</v>
      </c>
      <c r="H13" s="23"/>
      <c r="I13" s="21"/>
      <c r="J13" s="21"/>
      <c r="K13" s="23"/>
    </row>
    <row r="14" ht="28.5" spans="1:11">
      <c r="A14" s="6" t="s">
        <v>929</v>
      </c>
      <c r="B14" s="7" t="str">
        <f>_xlfn.TEXTJOIN(CHAR(10),,Scenario!$A$39,Scenario!$C$39)</f>
        <v>TS030
Validate the working of 'Header' options' functionality</v>
      </c>
      <c r="C14" s="28" t="s">
        <v>930</v>
      </c>
      <c r="D14" s="29" t="s">
        <v>811</v>
      </c>
      <c r="E14" s="28" t="s">
        <v>931</v>
      </c>
      <c r="F14" s="22" t="s">
        <v>813</v>
      </c>
      <c r="G14" s="24" t="s">
        <v>932</v>
      </c>
      <c r="H14" s="23"/>
      <c r="I14" s="21"/>
      <c r="J14" s="21"/>
      <c r="K14" s="23"/>
    </row>
    <row r="15" ht="42.75" spans="1:11">
      <c r="A15" s="6" t="s">
        <v>933</v>
      </c>
      <c r="B15" s="7" t="str">
        <f>_xlfn.TEXTJOIN(CHAR(10),,Scenario!$A$39,Scenario!$C$39)</f>
        <v>TS030
Validate the working of 'Header' options' functionality</v>
      </c>
      <c r="C15" s="28" t="s">
        <v>934</v>
      </c>
      <c r="D15" s="29" t="s">
        <v>811</v>
      </c>
      <c r="E15" s="29" t="s">
        <v>935</v>
      </c>
      <c r="F15" s="30" t="s">
        <v>936</v>
      </c>
      <c r="G15" s="31" t="s">
        <v>937</v>
      </c>
      <c r="H15" s="23"/>
      <c r="I15" s="21"/>
      <c r="J15" s="21"/>
      <c r="K15" s="23"/>
    </row>
    <row r="16" ht="57" spans="1:11">
      <c r="A16" s="6" t="s">
        <v>938</v>
      </c>
      <c r="B16" s="7" t="str">
        <f>_xlfn.TEXTJOIN(CHAR(10),,Scenario!$A$39,Scenario!$C$39)</f>
        <v>TS030
Validate the working of 'Header' options' functionality</v>
      </c>
      <c r="C16" s="28" t="s">
        <v>939</v>
      </c>
      <c r="D16" s="29" t="s">
        <v>940</v>
      </c>
      <c r="E16" s="29" t="s">
        <v>941</v>
      </c>
      <c r="F16" s="30" t="s">
        <v>936</v>
      </c>
      <c r="G16" s="24" t="s">
        <v>942</v>
      </c>
      <c r="H16" s="23"/>
      <c r="I16" s="21"/>
      <c r="J16" s="21"/>
      <c r="K16" s="23"/>
    </row>
    <row r="17" ht="57" spans="1:11">
      <c r="A17" s="6" t="s">
        <v>943</v>
      </c>
      <c r="B17" s="7" t="str">
        <f>_xlfn.TEXTJOIN(CHAR(10),,Scenario!$A$39,Scenario!$C$39)</f>
        <v>TS030
Validate the working of 'Header' options' functionality</v>
      </c>
      <c r="C17" s="28" t="s">
        <v>944</v>
      </c>
      <c r="D17" s="29" t="s">
        <v>940</v>
      </c>
      <c r="E17" s="29" t="s">
        <v>945</v>
      </c>
      <c r="F17" s="22" t="s">
        <v>946</v>
      </c>
      <c r="G17" s="24" t="s">
        <v>947</v>
      </c>
      <c r="H17" s="23"/>
      <c r="I17" s="21"/>
      <c r="J17" s="21"/>
      <c r="K17" s="23"/>
    </row>
    <row r="18" ht="57" spans="1:11">
      <c r="A18" s="6" t="s">
        <v>948</v>
      </c>
      <c r="B18" s="7" t="str">
        <f>_xlfn.TEXTJOIN(CHAR(10),,Scenario!$A$39,Scenario!$C$39)</f>
        <v>TS030
Validate the working of 'Header' options' functionality</v>
      </c>
      <c r="C18" s="28" t="s">
        <v>949</v>
      </c>
      <c r="D18" s="29" t="s">
        <v>950</v>
      </c>
      <c r="E18" s="29" t="s">
        <v>951</v>
      </c>
      <c r="F18" s="30" t="s">
        <v>852</v>
      </c>
      <c r="G18" s="24" t="s">
        <v>952</v>
      </c>
      <c r="H18" s="23"/>
      <c r="I18" s="21"/>
      <c r="J18" s="21"/>
      <c r="K18" s="23"/>
    </row>
    <row r="19" ht="28.5" spans="1:11">
      <c r="A19" s="6" t="s">
        <v>953</v>
      </c>
      <c r="B19" s="7" t="str">
        <f>_xlfn.TEXTJOIN(CHAR(10),,Scenario!$A$39,Scenario!$C$39)</f>
        <v>TS030
Validate the working of 'Header' options' functionality</v>
      </c>
      <c r="C19" s="28" t="s">
        <v>954</v>
      </c>
      <c r="D19" s="29" t="s">
        <v>811</v>
      </c>
      <c r="E19" s="28" t="s">
        <v>955</v>
      </c>
      <c r="F19" s="22" t="s">
        <v>813</v>
      </c>
      <c r="G19" s="24" t="s">
        <v>956</v>
      </c>
      <c r="H19" s="23"/>
      <c r="I19" s="21"/>
      <c r="J19" s="21"/>
      <c r="K19" s="23"/>
    </row>
    <row r="20" ht="28.5" spans="1:11">
      <c r="A20" s="6" t="s">
        <v>957</v>
      </c>
      <c r="B20" s="7" t="str">
        <f>_xlfn.TEXTJOIN(CHAR(10),,Scenario!$A$39,Scenario!$C$39)</f>
        <v>TS030
Validate the working of 'Header' options' functionality</v>
      </c>
      <c r="C20" s="28" t="s">
        <v>958</v>
      </c>
      <c r="D20" s="28" t="s">
        <v>811</v>
      </c>
      <c r="E20" s="28" t="s">
        <v>959</v>
      </c>
      <c r="F20" s="22" t="s">
        <v>813</v>
      </c>
      <c r="G20" s="24" t="s">
        <v>960</v>
      </c>
      <c r="H20" s="23"/>
      <c r="I20" s="21"/>
      <c r="J20" s="21"/>
      <c r="K20" s="23"/>
    </row>
    <row r="21" ht="28.5" spans="1:11">
      <c r="A21" s="6" t="s">
        <v>961</v>
      </c>
      <c r="B21" s="7" t="str">
        <f>_xlfn.TEXTJOIN(CHAR(10),,Scenario!$A$39,Scenario!$C$39)</f>
        <v>TS030
Validate the working of 'Header' options' functionality</v>
      </c>
      <c r="C21" s="28" t="s">
        <v>962</v>
      </c>
      <c r="D21" s="29" t="s">
        <v>963</v>
      </c>
      <c r="E21" s="28" t="s">
        <v>959</v>
      </c>
      <c r="F21" s="30" t="s">
        <v>813</v>
      </c>
      <c r="G21" s="31" t="s">
        <v>964</v>
      </c>
      <c r="H21" s="23"/>
      <c r="I21" s="21"/>
      <c r="J21" s="21"/>
      <c r="K21" s="23"/>
    </row>
    <row r="22" ht="28.5" spans="1:11">
      <c r="A22" s="6" t="s">
        <v>965</v>
      </c>
      <c r="B22" s="7" t="str">
        <f>_xlfn.TEXTJOIN(CHAR(10),,Scenario!$A$39,Scenario!$C$39)</f>
        <v>TS030
Validate the working of 'Header' options' functionality</v>
      </c>
      <c r="C22" s="28" t="s">
        <v>966</v>
      </c>
      <c r="D22" s="28" t="s">
        <v>811</v>
      </c>
      <c r="E22" s="29" t="s">
        <v>967</v>
      </c>
      <c r="F22" s="30" t="s">
        <v>813</v>
      </c>
      <c r="G22" s="24" t="s">
        <v>968</v>
      </c>
      <c r="H22" s="23"/>
      <c r="I22" s="21"/>
      <c r="J22" s="21"/>
      <c r="K22" s="23"/>
    </row>
    <row r="23" s="2" customFormat="1" ht="28.5" spans="1:11">
      <c r="A23" s="6" t="s">
        <v>969</v>
      </c>
      <c r="B23" s="7" t="str">
        <f>_xlfn.TEXTJOIN(CHAR(10),,Scenario!$A$39,Scenario!$C$39)</f>
        <v>TS030
Validate the working of 'Header' options' functionality</v>
      </c>
      <c r="C23" s="28" t="s">
        <v>970</v>
      </c>
      <c r="D23" s="29" t="s">
        <v>811</v>
      </c>
      <c r="E23" s="28" t="s">
        <v>971</v>
      </c>
      <c r="F23" s="22" t="s">
        <v>813</v>
      </c>
      <c r="G23" s="24" t="s">
        <v>972</v>
      </c>
      <c r="H23" s="23"/>
      <c r="I23" s="21"/>
      <c r="J23" s="21"/>
      <c r="K23" s="23"/>
    </row>
    <row r="24" s="2" customFormat="1" ht="28.5" spans="1:11">
      <c r="A24" s="6" t="s">
        <v>973</v>
      </c>
      <c r="B24" s="7" t="str">
        <f>_xlfn.TEXTJOIN(CHAR(10),,Scenario!$A$39,Scenario!$C$39)</f>
        <v>TS030
Validate the working of 'Header' options' functionality</v>
      </c>
      <c r="C24" s="29" t="s">
        <v>974</v>
      </c>
      <c r="D24" s="29" t="s">
        <v>811</v>
      </c>
      <c r="E24" s="29" t="s">
        <v>975</v>
      </c>
      <c r="F24" s="22" t="s">
        <v>976</v>
      </c>
      <c r="G24" s="31" t="s">
        <v>977</v>
      </c>
      <c r="H24" s="23"/>
      <c r="I24" s="23"/>
      <c r="J24" s="23"/>
      <c r="K24" s="23"/>
    </row>
    <row r="25" customFormat="1" ht="71.25" spans="1:11">
      <c r="A25" s="6" t="s">
        <v>978</v>
      </c>
      <c r="B25" s="7" t="str">
        <f>_xlfn.TEXTJOIN(CHAR(10),,Scenario!$A$39,Scenario!$C$39)</f>
        <v>TS030
Validate the working of 'Header' options' functionality</v>
      </c>
      <c r="C25" s="29" t="s">
        <v>979</v>
      </c>
      <c r="D25" s="29" t="s">
        <v>811</v>
      </c>
      <c r="E25" s="29" t="s">
        <v>975</v>
      </c>
      <c r="F25" s="22" t="s">
        <v>980</v>
      </c>
      <c r="G25" s="9" t="s">
        <v>981</v>
      </c>
      <c r="H25" s="8" t="s">
        <v>982</v>
      </c>
      <c r="I25" s="6"/>
      <c r="J25" s="6" t="s">
        <v>983</v>
      </c>
      <c r="K25" s="6"/>
    </row>
    <row r="26" ht="28.5" spans="1:11">
      <c r="A26" s="6" t="s">
        <v>984</v>
      </c>
      <c r="B26" s="7" t="str">
        <f>_xlfn.TEXTJOIN(CHAR(10),,Scenario!$A$39,Scenario!$C$39)</f>
        <v>TS030
Validate the working of 'Header' options' functionality</v>
      </c>
      <c r="C26" s="32" t="s">
        <v>985</v>
      </c>
      <c r="D26" s="29" t="s">
        <v>986</v>
      </c>
      <c r="E26" s="29" t="s">
        <v>393</v>
      </c>
      <c r="F26" s="22" t="s">
        <v>813</v>
      </c>
      <c r="G26" s="32" t="s">
        <v>987</v>
      </c>
      <c r="H26" s="32"/>
      <c r="I26" s="32"/>
      <c r="J26" s="32"/>
      <c r="K26" s="32"/>
    </row>
    <row r="27" ht="42.75" spans="1:11">
      <c r="A27" s="6" t="s">
        <v>988</v>
      </c>
      <c r="B27" s="7" t="str">
        <f>_xlfn.TEXTJOIN(CHAR(10),,Scenario!$A$39,Scenario!$C$39)</f>
        <v>TS030
Validate the working of 'Header' options' functionality</v>
      </c>
      <c r="C27" s="32" t="s">
        <v>989</v>
      </c>
      <c r="D27" s="29" t="s">
        <v>990</v>
      </c>
      <c r="E27" s="33" t="s">
        <v>991</v>
      </c>
      <c r="F27" s="33" t="s">
        <v>992</v>
      </c>
      <c r="G27" s="32" t="s">
        <v>993</v>
      </c>
      <c r="H27" s="32"/>
      <c r="I27" s="32"/>
      <c r="J27" s="32"/>
      <c r="K27" s="32"/>
    </row>
    <row r="28" spans="1:11">
      <c r="C28"/>
      <c r="E28"/>
      <c r="F28"/>
      <c r="G28"/>
      <c r="H28"/>
    </row>
    <row r="29" spans="1:11">
      <c r="C29"/>
      <c r="E29"/>
      <c r="F29"/>
      <c r="G29"/>
      <c r="H29"/>
    </row>
    <row r="30" spans="1:11">
      <c r="C30"/>
      <c r="E30"/>
      <c r="F30"/>
      <c r="G30"/>
      <c r="H30"/>
    </row>
    <row r="31" spans="1:11">
      <c r="C31"/>
      <c r="E31"/>
      <c r="F31"/>
      <c r="G31"/>
      <c r="H31"/>
    </row>
    <row r="32" spans="1:11">
      <c r="C32"/>
      <c r="E32"/>
      <c r="F32"/>
      <c r="G32"/>
      <c r="H32"/>
    </row>
    <row r="33" spans="3:8">
      <c r="C33"/>
      <c r="E33"/>
      <c r="F33"/>
      <c r="G33"/>
      <c r="H33"/>
    </row>
    <row r="34" spans="3:8">
      <c r="C34"/>
      <c r="E34"/>
      <c r="F34"/>
      <c r="G34"/>
      <c r="H34"/>
    </row>
    <row r="35" spans="3:8">
      <c r="C35"/>
      <c r="E35"/>
      <c r="F35"/>
      <c r="G35"/>
      <c r="H35"/>
    </row>
    <row r="36" spans="3:8">
      <c r="C36"/>
      <c r="E36"/>
      <c r="F36"/>
      <c r="G36"/>
      <c r="H36"/>
    </row>
    <row r="37" spans="3:8">
      <c r="C37"/>
      <c r="E37"/>
      <c r="F37"/>
      <c r="G37"/>
      <c r="H37"/>
    </row>
    <row r="38" spans="3:8">
      <c r="C38"/>
      <c r="E38"/>
      <c r="F38"/>
      <c r="G38"/>
      <c r="H38"/>
    </row>
    <row r="39" spans="3:8">
      <c r="C39"/>
      <c r="E39"/>
      <c r="F39"/>
      <c r="G39"/>
      <c r="H39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35"/>
  <sheetViews>
    <sheetView workbookViewId="0">
      <selection activeCell="K17" sqref="K17"/>
    </sheetView>
  </sheetViews>
  <sheetFormatPr defaultColWidth="9" defaultRowHeight="14.25"/>
  <cols>
    <col min="1" max="1" width="13.125" style="25" customWidth="1"/>
    <col min="2" max="2" width="42" style="26" customWidth="1"/>
    <col min="3" max="3" width="32.625" style="25" customWidth="1"/>
    <col min="4" max="4" width="30.875" style="25" customWidth="1"/>
    <col min="5" max="5" width="42.35" style="25" customWidth="1"/>
    <col min="6" max="6" width="15.2916666666667" style="25" customWidth="1"/>
    <col min="7" max="7" width="86.6" style="25" customWidth="1"/>
    <col min="8" max="8" width="13.375" style="25" customWidth="1"/>
    <col min="9" max="9" width="7.75" style="25" customWidth="1"/>
    <col min="10" max="10" width="7.125" style="25" customWidth="1"/>
    <col min="11" max="11" width="10.875" style="25" customWidth="1"/>
    <col min="12" max="16384" width="9" style="25"/>
  </cols>
  <sheetData>
    <row r="1" s="25" customFormat="1" ht="15" spans="1:11">
      <c r="A1" s="4" t="s">
        <v>160</v>
      </c>
      <c r="B1" s="4" t="s">
        <v>161</v>
      </c>
      <c r="C1" s="5" t="s">
        <v>162</v>
      </c>
      <c r="D1" s="4" t="s">
        <v>163</v>
      </c>
      <c r="E1" s="5" t="s">
        <v>164</v>
      </c>
      <c r="F1" s="4" t="s">
        <v>165</v>
      </c>
      <c r="G1" s="5" t="s">
        <v>166</v>
      </c>
      <c r="H1" s="4" t="s">
        <v>24</v>
      </c>
      <c r="I1" s="4" t="s">
        <v>26</v>
      </c>
      <c r="J1" s="4" t="s">
        <v>167</v>
      </c>
      <c r="K1" s="4" t="s">
        <v>168</v>
      </c>
    </row>
    <row r="2" s="25" customFormat="1" ht="128.25" spans="1:11">
      <c r="A2" s="6" t="s">
        <v>994</v>
      </c>
      <c r="B2" s="7" t="str">
        <f>_xlfn.TEXTJOIN(CHAR(10),,Scenario!A41,Scenario!C41)</f>
        <v>TS032
Validate the working of 'Footer' options' functionality</v>
      </c>
      <c r="C2" s="6" t="s">
        <v>995</v>
      </c>
      <c r="D2" s="6" t="s">
        <v>701</v>
      </c>
      <c r="E2" s="6" t="s">
        <v>996</v>
      </c>
      <c r="F2" s="6" t="s">
        <v>813</v>
      </c>
      <c r="G2" s="8" t="s">
        <v>997</v>
      </c>
      <c r="H2" s="6"/>
      <c r="I2" s="6"/>
      <c r="J2" s="6"/>
      <c r="K2" s="6"/>
    </row>
    <row r="3" s="25" customFormat="1" ht="28.5" spans="1:11">
      <c r="A3" s="6" t="s">
        <v>998</v>
      </c>
      <c r="B3" s="7" t="str">
        <f>_xlfn.TEXTJOIN(CHAR(10),,Scenario!A41,Scenario!C41)</f>
        <v>TS032
Validate the working of 'Footer' options' functionality</v>
      </c>
      <c r="C3" s="6" t="s">
        <v>999</v>
      </c>
      <c r="D3" s="6" t="s">
        <v>701</v>
      </c>
      <c r="E3" s="8" t="s">
        <v>1000</v>
      </c>
      <c r="F3" s="6" t="str">
        <f t="shared" ref="F3:F17" si="0">SUBSTITUTE(MID(C3,22,30),"'","")</f>
        <v>About Us</v>
      </c>
      <c r="G3" s="6" t="str">
        <f t="shared" ref="G3:G17" si="1">"Should navigate user to "&amp;MID(C3,22,30)&amp;". A proper text/information should display on this page"</f>
        <v>Should navigate user to 'About Us'. A proper text/information should display on this page</v>
      </c>
      <c r="H3" s="6"/>
      <c r="I3" s="6"/>
      <c r="J3" s="6"/>
      <c r="K3" s="6"/>
    </row>
    <row r="4" s="25" customFormat="1" ht="28.5" spans="1:11">
      <c r="A4" s="6" t="s">
        <v>1001</v>
      </c>
      <c r="B4" s="7" t="str">
        <f>_xlfn.TEXTJOIN(CHAR(10),,Scenario!A41,Scenario!C41)</f>
        <v>TS032
Validate the working of 'Footer' options' functionality</v>
      </c>
      <c r="C4" s="6" t="s">
        <v>1002</v>
      </c>
      <c r="D4" s="6" t="s">
        <v>701</v>
      </c>
      <c r="E4" s="8" t="s">
        <v>1000</v>
      </c>
      <c r="F4" s="6" t="str">
        <f t="shared" si="0"/>
        <v>Delivery Information</v>
      </c>
      <c r="G4" s="6" t="str">
        <f t="shared" si="1"/>
        <v>Should navigate user to 'Delivery Information'. A proper text/information should display on this page</v>
      </c>
      <c r="H4" s="6"/>
      <c r="I4" s="6"/>
      <c r="J4" s="6"/>
      <c r="K4" s="6"/>
    </row>
    <row r="5" s="25" customFormat="1" ht="28.5" spans="1:11">
      <c r="A5" s="6" t="s">
        <v>1003</v>
      </c>
      <c r="B5" s="7" t="str">
        <f>_xlfn.TEXTJOIN(CHAR(10),,Scenario!A41,Scenario!C41)</f>
        <v>TS032
Validate the working of 'Footer' options' functionality</v>
      </c>
      <c r="C5" s="6" t="s">
        <v>1004</v>
      </c>
      <c r="D5" s="6" t="s">
        <v>701</v>
      </c>
      <c r="E5" s="8" t="s">
        <v>1000</v>
      </c>
      <c r="F5" s="6" t="str">
        <f t="shared" si="0"/>
        <v>Privacy Policy</v>
      </c>
      <c r="G5" s="6" t="str">
        <f t="shared" si="1"/>
        <v>Should navigate user to 'Privacy Policy'. A proper text/information should display on this page</v>
      </c>
      <c r="H5" s="6"/>
      <c r="I5" s="6"/>
      <c r="J5" s="6"/>
      <c r="K5" s="6"/>
    </row>
    <row r="6" s="25" customFormat="1" ht="28.5" spans="1:11">
      <c r="A6" s="6" t="s">
        <v>1005</v>
      </c>
      <c r="B6" s="7" t="str">
        <f>_xlfn.TEXTJOIN(CHAR(10),,Scenario!A41,Scenario!C41)</f>
        <v>TS032
Validate the working of 'Footer' options' functionality</v>
      </c>
      <c r="C6" s="6" t="s">
        <v>1006</v>
      </c>
      <c r="D6" s="6" t="s">
        <v>701</v>
      </c>
      <c r="E6" s="8" t="s">
        <v>1000</v>
      </c>
      <c r="F6" s="6" t="str">
        <f t="shared" si="0"/>
        <v>Term &amp; Conditions</v>
      </c>
      <c r="G6" s="6" t="str">
        <f t="shared" si="1"/>
        <v>Should navigate user to 'Term &amp; Conditions'. A proper text/information should display on this page</v>
      </c>
      <c r="H6" s="6"/>
      <c r="I6" s="6"/>
      <c r="J6" s="6"/>
      <c r="K6" s="6"/>
    </row>
    <row r="7" s="25" customFormat="1" ht="28.5" spans="1:11">
      <c r="A7" s="6" t="s">
        <v>1007</v>
      </c>
      <c r="B7" s="7" t="str">
        <f>_xlfn.TEXTJOIN(CHAR(10),,Scenario!A41,Scenario!C41)</f>
        <v>TS032
Validate the working of 'Footer' options' functionality</v>
      </c>
      <c r="C7" s="6" t="s">
        <v>1008</v>
      </c>
      <c r="D7" s="6" t="s">
        <v>701</v>
      </c>
      <c r="E7" s="8" t="s">
        <v>1000</v>
      </c>
      <c r="F7" s="6" t="str">
        <f t="shared" si="0"/>
        <v>Contact Us</v>
      </c>
      <c r="G7" s="6" t="str">
        <f t="shared" si="1"/>
        <v>Should navigate user to 'Contact Us'. A proper text/information should display on this page</v>
      </c>
      <c r="H7" s="6"/>
      <c r="I7" s="6"/>
      <c r="J7" s="6"/>
      <c r="K7" s="6"/>
    </row>
    <row r="8" s="25" customFormat="1" ht="28.5" spans="1:11">
      <c r="A8" s="6" t="s">
        <v>1009</v>
      </c>
      <c r="B8" s="7" t="str">
        <f>_xlfn.TEXTJOIN(CHAR(10),,Scenario!A41,Scenario!C41)</f>
        <v>TS032
Validate the working of 'Footer' options' functionality</v>
      </c>
      <c r="C8" s="6" t="s">
        <v>1010</v>
      </c>
      <c r="D8" s="6" t="s">
        <v>701</v>
      </c>
      <c r="E8" s="8" t="s">
        <v>1000</v>
      </c>
      <c r="F8" s="6" t="str">
        <f t="shared" si="0"/>
        <v> Returns</v>
      </c>
      <c r="G8" s="6" t="str">
        <f t="shared" si="1"/>
        <v>Should navigate user to ' Returns'. A proper text/information should display on this page</v>
      </c>
      <c r="H8" s="6"/>
      <c r="I8" s="6"/>
      <c r="J8" s="6"/>
      <c r="K8" s="6"/>
    </row>
    <row r="9" s="25" customFormat="1" ht="28.5" spans="1:11">
      <c r="A9" s="6" t="s">
        <v>1011</v>
      </c>
      <c r="B9" s="7" t="str">
        <f>_xlfn.TEXTJOIN(CHAR(10),,Scenario!A41,Scenario!C41)</f>
        <v>TS032
Validate the working of 'Footer' options' functionality</v>
      </c>
      <c r="C9" s="6" t="s">
        <v>1012</v>
      </c>
      <c r="D9" s="6" t="s">
        <v>701</v>
      </c>
      <c r="E9" s="8" t="s">
        <v>1000</v>
      </c>
      <c r="F9" s="6" t="str">
        <f t="shared" si="0"/>
        <v>Site Map</v>
      </c>
      <c r="G9" s="6" t="str">
        <f t="shared" si="1"/>
        <v>Should navigate user to 'Site Map'. A proper text/information should display on this page</v>
      </c>
      <c r="H9" s="6"/>
      <c r="I9" s="6"/>
      <c r="J9" s="6"/>
      <c r="K9" s="6"/>
    </row>
    <row r="10" s="25" customFormat="1" ht="28.5" spans="1:11">
      <c r="A10" s="6" t="s">
        <v>1013</v>
      </c>
      <c r="B10" s="7" t="str">
        <f>_xlfn.TEXTJOIN(CHAR(10),,Scenario!A41,Scenario!C41)</f>
        <v>TS032
Validate the working of 'Footer' options' functionality</v>
      </c>
      <c r="C10" s="6" t="s">
        <v>1014</v>
      </c>
      <c r="D10" s="6" t="s">
        <v>701</v>
      </c>
      <c r="E10" s="8" t="s">
        <v>1000</v>
      </c>
      <c r="F10" s="6" t="str">
        <f t="shared" si="0"/>
        <v>Brands</v>
      </c>
      <c r="G10" s="6" t="str">
        <f t="shared" si="1"/>
        <v>Should navigate user to 'Brands'. A proper text/information should display on this page</v>
      </c>
      <c r="H10" s="6"/>
      <c r="I10" s="6"/>
      <c r="J10" s="6"/>
      <c r="K10" s="6"/>
    </row>
    <row r="11" s="25" customFormat="1" ht="28.5" spans="1:11">
      <c r="A11" s="6" t="s">
        <v>1015</v>
      </c>
      <c r="B11" s="7" t="str">
        <f>_xlfn.TEXTJOIN(CHAR(10),,Scenario!A41,Scenario!C41)</f>
        <v>TS032
Validate the working of 'Footer' options' functionality</v>
      </c>
      <c r="C11" s="6" t="s">
        <v>1016</v>
      </c>
      <c r="D11" s="6" t="s">
        <v>701</v>
      </c>
      <c r="E11" s="8" t="s">
        <v>1000</v>
      </c>
      <c r="F11" s="6" t="str">
        <f t="shared" si="0"/>
        <v>Gift Voucher</v>
      </c>
      <c r="G11" s="6" t="str">
        <f t="shared" si="1"/>
        <v>Should navigate user to 'Gift Voucher'. A proper text/information should display on this page</v>
      </c>
      <c r="H11" s="6"/>
      <c r="I11" s="6"/>
      <c r="J11" s="6"/>
      <c r="K11" s="6"/>
    </row>
    <row r="12" s="25" customFormat="1" ht="28.5" spans="1:11">
      <c r="A12" s="6" t="s">
        <v>1017</v>
      </c>
      <c r="B12" s="7" t="str">
        <f>_xlfn.TEXTJOIN(CHAR(10),,Scenario!A41,Scenario!C41)</f>
        <v>TS032
Validate the working of 'Footer' options' functionality</v>
      </c>
      <c r="C12" s="6" t="s">
        <v>1018</v>
      </c>
      <c r="D12" s="6" t="s">
        <v>701</v>
      </c>
      <c r="E12" s="8" t="s">
        <v>1000</v>
      </c>
      <c r="F12" s="6" t="str">
        <f t="shared" si="0"/>
        <v>Affiliates</v>
      </c>
      <c r="G12" s="6" t="str">
        <f t="shared" si="1"/>
        <v>Should navigate user to 'Affiliates'. A proper text/information should display on this page</v>
      </c>
      <c r="H12" s="6"/>
      <c r="I12" s="6"/>
      <c r="J12" s="6"/>
      <c r="K12" s="6"/>
    </row>
    <row r="13" s="25" customFormat="1" ht="28.5" spans="1:11">
      <c r="A13" s="6" t="s">
        <v>1019</v>
      </c>
      <c r="B13" s="7" t="str">
        <f>_xlfn.TEXTJOIN(CHAR(10),,Scenario!A41,Scenario!C41)</f>
        <v>TS032
Validate the working of 'Footer' options' functionality</v>
      </c>
      <c r="C13" s="6" t="s">
        <v>1020</v>
      </c>
      <c r="D13" s="6" t="s">
        <v>701</v>
      </c>
      <c r="E13" s="8" t="s">
        <v>1000</v>
      </c>
      <c r="F13" s="6" t="str">
        <f t="shared" si="0"/>
        <v>Specials</v>
      </c>
      <c r="G13" s="6" t="str">
        <f t="shared" si="1"/>
        <v>Should navigate user to 'Specials'. A proper text/information should display on this page</v>
      </c>
      <c r="H13" s="6"/>
      <c r="I13" s="6"/>
      <c r="J13" s="6"/>
      <c r="K13" s="6"/>
    </row>
    <row r="14" s="25" customFormat="1" ht="28.5" spans="1:11">
      <c r="A14" s="6" t="s">
        <v>1021</v>
      </c>
      <c r="B14" s="7" t="str">
        <f>_xlfn.TEXTJOIN(CHAR(10),,Scenario!A41,Scenario!C41)</f>
        <v>TS032
Validate the working of 'Footer' options' functionality</v>
      </c>
      <c r="C14" s="6" t="s">
        <v>1022</v>
      </c>
      <c r="D14" s="6" t="s">
        <v>701</v>
      </c>
      <c r="E14" s="8" t="s">
        <v>1000</v>
      </c>
      <c r="F14" s="6" t="str">
        <f t="shared" si="0"/>
        <v>My Account</v>
      </c>
      <c r="G14" s="6" t="str">
        <f t="shared" si="1"/>
        <v>Should navigate user to 'My Account'. A proper text/information should display on this page</v>
      </c>
      <c r="H14" s="6"/>
      <c r="I14" s="6"/>
      <c r="J14" s="6"/>
      <c r="K14" s="6"/>
    </row>
    <row r="15" s="25" customFormat="1" ht="28.5" spans="1:11">
      <c r="A15" s="6" t="s">
        <v>1023</v>
      </c>
      <c r="B15" s="7" t="str">
        <f>_xlfn.TEXTJOIN(CHAR(10),,Scenario!A41,Scenario!C41)</f>
        <v>TS032
Validate the working of 'Footer' options' functionality</v>
      </c>
      <c r="C15" s="6" t="s">
        <v>1024</v>
      </c>
      <c r="D15" s="6" t="s">
        <v>701</v>
      </c>
      <c r="E15" s="8" t="s">
        <v>1000</v>
      </c>
      <c r="F15" s="6" t="str">
        <f t="shared" si="0"/>
        <v>Order History</v>
      </c>
      <c r="G15" s="6" t="str">
        <f t="shared" si="1"/>
        <v>Should navigate user to 'Order History'. A proper text/information should display on this page</v>
      </c>
      <c r="H15" s="6"/>
      <c r="I15" s="6"/>
      <c r="J15" s="6"/>
      <c r="K15" s="6"/>
    </row>
    <row r="16" s="25" customFormat="1" ht="28.5" spans="1:11">
      <c r="A16" s="6" t="s">
        <v>1025</v>
      </c>
      <c r="B16" s="7" t="str">
        <f>_xlfn.TEXTJOIN(CHAR(10),,Scenario!A41,Scenario!C41)</f>
        <v>TS032
Validate the working of 'Footer' options' functionality</v>
      </c>
      <c r="C16" s="6" t="s">
        <v>1026</v>
      </c>
      <c r="D16" s="6" t="s">
        <v>701</v>
      </c>
      <c r="E16" s="8" t="s">
        <v>1000</v>
      </c>
      <c r="F16" s="6" t="str">
        <f t="shared" si="0"/>
        <v>Wish List</v>
      </c>
      <c r="G16" s="6" t="str">
        <f t="shared" si="1"/>
        <v>Should navigate user to 'Wish List'. A proper text/information should display on this page</v>
      </c>
      <c r="H16" s="6"/>
      <c r="I16" s="6"/>
      <c r="J16" s="6"/>
      <c r="K16" s="6"/>
    </row>
    <row r="17" s="25" customFormat="1" ht="28.5" spans="1:11">
      <c r="A17" s="6" t="s">
        <v>1027</v>
      </c>
      <c r="B17" s="7" t="str">
        <f>_xlfn.TEXTJOIN(CHAR(10),,Scenario!A41,Scenario!C41)</f>
        <v>TS032
Validate the working of 'Footer' options' functionality</v>
      </c>
      <c r="C17" s="6" t="s">
        <v>1028</v>
      </c>
      <c r="D17" s="6" t="s">
        <v>701</v>
      </c>
      <c r="E17" s="8" t="s">
        <v>1000</v>
      </c>
      <c r="F17" s="6" t="str">
        <f t="shared" si="0"/>
        <v>Newletter</v>
      </c>
      <c r="G17" s="6" t="str">
        <f t="shared" si="1"/>
        <v>Should navigate user to 'Newletter'. A proper text/information should display on this page</v>
      </c>
      <c r="H17" s="6"/>
      <c r="I17" s="6"/>
      <c r="J17" s="6"/>
      <c r="K17" s="6"/>
    </row>
    <row r="18" spans="1:11">
      <c r="B18" s="27"/>
    </row>
    <row r="19" spans="1:11">
      <c r="B19" s="27"/>
    </row>
    <row r="20" spans="1:11">
      <c r="B20" s="27"/>
    </row>
    <row r="21" spans="1:11">
      <c r="B21" s="27"/>
    </row>
    <row r="22" spans="1:11">
      <c r="B22" s="27"/>
    </row>
    <row r="23" spans="1:11">
      <c r="B23" s="27"/>
    </row>
    <row r="24" spans="1:11">
      <c r="B24" s="27"/>
    </row>
    <row r="25" spans="1:11">
      <c r="B25" s="27"/>
    </row>
    <row r="26" spans="1:11">
      <c r="B26" s="27"/>
    </row>
    <row r="27" spans="1:11">
      <c r="B27" s="27"/>
    </row>
    <row r="28" spans="1:11">
      <c r="B28" s="27"/>
    </row>
    <row r="29" spans="1:11">
      <c r="B29" s="27"/>
    </row>
    <row r="30" spans="1:11">
      <c r="B30" s="27"/>
    </row>
    <row r="31" spans="1:11">
      <c r="B31" s="27"/>
    </row>
    <row r="32" spans="1:11">
      <c r="B32" s="27"/>
    </row>
    <row r="33" spans="2:2">
      <c r="B33" s="27"/>
    </row>
    <row r="34" spans="2:2">
      <c r="B34" s="27"/>
    </row>
    <row r="35" spans="2:2">
      <c r="B35" s="27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52"/>
  <sheetViews>
    <sheetView zoomScale="85" zoomScaleNormal="85" workbookViewId="0">
      <selection activeCell="K17" sqref="K17"/>
    </sheetView>
  </sheetViews>
  <sheetFormatPr defaultColWidth="9" defaultRowHeight="14.25"/>
  <cols>
    <col min="1" max="1" width="13.125" customWidth="1"/>
    <col min="2" max="2" width="40.875" style="12" customWidth="1"/>
    <col min="3" max="3" width="72.125" customWidth="1"/>
    <col min="4" max="4" width="38.0833333333333" customWidth="1"/>
    <col min="5" max="5" width="61.625" style="19" customWidth="1"/>
    <col min="6" max="6" width="28.75" style="3" customWidth="1"/>
    <col min="7" max="7" width="64.75" customWidth="1"/>
    <col min="8" max="8" width="13.375" customWidth="1"/>
    <col min="9" max="9" width="7.75" customWidth="1"/>
    <col min="10" max="10" width="7.125" customWidth="1"/>
    <col min="11" max="11" width="42.725" customWidth="1"/>
  </cols>
  <sheetData>
    <row r="1" ht="15" spans="1:11">
      <c r="A1" s="4" t="s">
        <v>160</v>
      </c>
      <c r="B1" s="4" t="s">
        <v>161</v>
      </c>
      <c r="C1" s="5" t="s">
        <v>162</v>
      </c>
      <c r="D1" s="4" t="s">
        <v>163</v>
      </c>
      <c r="E1" s="4" t="s">
        <v>164</v>
      </c>
      <c r="F1" s="4" t="s">
        <v>165</v>
      </c>
      <c r="G1" s="5" t="s">
        <v>166</v>
      </c>
      <c r="H1" s="4" t="s">
        <v>24</v>
      </c>
      <c r="I1" s="4" t="s">
        <v>26</v>
      </c>
      <c r="J1" s="4" t="s">
        <v>167</v>
      </c>
      <c r="K1" s="4" t="s">
        <v>168</v>
      </c>
    </row>
    <row r="2" ht="57" spans="1:11">
      <c r="A2" s="6" t="s">
        <v>1029</v>
      </c>
      <c r="B2" s="7" t="str">
        <f>_xlfn.TEXTJOIN(CHAR(10),,Scenario!A16,Scenario!C16)</f>
        <v>TS007
Validate the working of 'Product page' functionality</v>
      </c>
      <c r="C2" s="6" t="s">
        <v>1030</v>
      </c>
      <c r="D2" s="8" t="s">
        <v>1031</v>
      </c>
      <c r="E2" s="20" t="s">
        <v>1032</v>
      </c>
      <c r="F2" s="9" t="s">
        <v>173</v>
      </c>
      <c r="G2" s="8" t="s">
        <v>1033</v>
      </c>
      <c r="H2" s="6"/>
      <c r="I2" s="6"/>
      <c r="J2" s="6"/>
      <c r="K2" s="6"/>
    </row>
    <row r="3" ht="28.5" spans="1:11">
      <c r="A3" s="6" t="s">
        <v>1034</v>
      </c>
      <c r="B3" s="7" t="str">
        <f>_xlfn.TEXTJOIN(CHAR(10),,Scenario!A16,Scenario!C16)</f>
        <v>TS007
Validate the working of 'Product page' functionality</v>
      </c>
      <c r="C3" s="6" t="s">
        <v>1035</v>
      </c>
      <c r="D3" s="8" t="s">
        <v>1031</v>
      </c>
      <c r="E3" s="20" t="s">
        <v>1036</v>
      </c>
      <c r="F3" s="9" t="s">
        <v>173</v>
      </c>
      <c r="G3" s="8" t="s">
        <v>1037</v>
      </c>
      <c r="H3" s="6"/>
      <c r="I3" s="6"/>
      <c r="J3" s="6"/>
      <c r="K3" s="6"/>
    </row>
    <row r="4" ht="28.5" spans="1:11">
      <c r="A4" s="6" t="s">
        <v>1038</v>
      </c>
      <c r="B4" s="7" t="str">
        <f>_xlfn.TEXTJOIN(CHAR(10),,Scenario!A16,Scenario!C16)</f>
        <v>TS007
Validate the working of 'Product page' functionality</v>
      </c>
      <c r="C4" s="6" t="s">
        <v>1039</v>
      </c>
      <c r="D4" s="8" t="s">
        <v>1031</v>
      </c>
      <c r="E4" s="8" t="s">
        <v>1040</v>
      </c>
      <c r="F4" s="9" t="s">
        <v>173</v>
      </c>
      <c r="G4" s="6" t="s">
        <v>1041</v>
      </c>
      <c r="H4" s="6"/>
      <c r="I4" s="6"/>
      <c r="J4" s="6"/>
      <c r="K4" s="6"/>
    </row>
    <row r="5" ht="42.75" spans="1:11">
      <c r="A5" s="6" t="s">
        <v>1042</v>
      </c>
      <c r="B5" s="7" t="str">
        <f>_xlfn.TEXTJOIN(CHAR(10),,Scenario!A16,Scenario!C16)</f>
        <v>TS007
Validate the working of 'Product page' functionality</v>
      </c>
      <c r="C5" s="6" t="s">
        <v>1043</v>
      </c>
      <c r="D5" s="8" t="s">
        <v>1031</v>
      </c>
      <c r="E5" s="20" t="s">
        <v>1044</v>
      </c>
      <c r="F5" s="9" t="s">
        <v>173</v>
      </c>
      <c r="G5" s="8" t="s">
        <v>1045</v>
      </c>
      <c r="H5" s="6"/>
      <c r="I5" s="6"/>
      <c r="J5" s="6"/>
      <c r="K5" s="6"/>
    </row>
    <row r="6" ht="42.75" spans="1:11">
      <c r="A6" s="6" t="s">
        <v>1046</v>
      </c>
      <c r="B6" s="7" t="str">
        <f>_xlfn.TEXTJOIN(CHAR(10),,Scenario!A16,Scenario!C16)</f>
        <v>TS007
Validate the working of 'Product page' functionality</v>
      </c>
      <c r="C6" s="6" t="s">
        <v>1047</v>
      </c>
      <c r="D6" s="8" t="s">
        <v>1031</v>
      </c>
      <c r="E6" s="8" t="s">
        <v>1048</v>
      </c>
      <c r="F6" s="9" t="s">
        <v>1049</v>
      </c>
      <c r="G6" s="6" t="s">
        <v>1050</v>
      </c>
      <c r="H6" s="6"/>
      <c r="I6" s="6"/>
      <c r="J6" s="6"/>
      <c r="K6" s="6"/>
    </row>
    <row r="7" ht="42.75" spans="1:11">
      <c r="A7" s="6" t="s">
        <v>1051</v>
      </c>
      <c r="B7" s="7" t="str">
        <f>_xlfn.TEXTJOIN(CHAR(10),,Scenario!A16,Scenario!C16)</f>
        <v>TS007
Validate the working of 'Product page' functionality</v>
      </c>
      <c r="C7" s="6" t="s">
        <v>1052</v>
      </c>
      <c r="D7" s="8" t="s">
        <v>1031</v>
      </c>
      <c r="E7" s="8" t="s">
        <v>1048</v>
      </c>
      <c r="F7" s="10" t="s">
        <v>1053</v>
      </c>
      <c r="G7" s="6" t="s">
        <v>1054</v>
      </c>
      <c r="H7" s="6"/>
      <c r="I7" s="6"/>
      <c r="J7" s="6"/>
      <c r="K7" s="6"/>
    </row>
    <row r="8" ht="42.75" spans="1:11">
      <c r="A8" s="6" t="s">
        <v>1055</v>
      </c>
      <c r="B8" s="7" t="str">
        <f>_xlfn.TEXTJOIN(CHAR(10),,Scenario!A16,Scenario!C16)</f>
        <v>TS007
Validate the working of 'Product page' functionality</v>
      </c>
      <c r="C8" s="6" t="s">
        <v>1056</v>
      </c>
      <c r="D8" s="8" t="s">
        <v>1057</v>
      </c>
      <c r="E8" s="20" t="s">
        <v>1058</v>
      </c>
      <c r="F8" s="9" t="s">
        <v>173</v>
      </c>
      <c r="G8" s="8" t="s">
        <v>1059</v>
      </c>
      <c r="H8" s="6"/>
      <c r="I8" s="6"/>
      <c r="J8" s="6"/>
      <c r="K8" s="6"/>
    </row>
    <row r="9" ht="42.75" spans="1:11">
      <c r="A9" s="6" t="s">
        <v>1060</v>
      </c>
      <c r="B9" s="7" t="str">
        <f>_xlfn.TEXTJOIN(CHAR(10),,Scenario!A16,Scenario!C16)</f>
        <v>TS007
Validate the working of 'Product page' functionality</v>
      </c>
      <c r="C9" s="6" t="s">
        <v>1061</v>
      </c>
      <c r="D9" s="8" t="s">
        <v>1062</v>
      </c>
      <c r="E9" s="20" t="s">
        <v>1058</v>
      </c>
      <c r="F9" s="9" t="s">
        <v>173</v>
      </c>
      <c r="G9" s="8" t="s">
        <v>1063</v>
      </c>
      <c r="H9" s="6"/>
      <c r="I9" s="6"/>
      <c r="J9" s="6"/>
      <c r="K9" s="6"/>
    </row>
    <row r="10" ht="28.5" spans="1:11">
      <c r="A10" s="6" t="s">
        <v>1064</v>
      </c>
      <c r="B10" s="7" t="str">
        <f>_xlfn.TEXTJOIN(CHAR(10),,Scenario!A16,Scenario!C16)</f>
        <v>TS007
Validate the working of 'Product page' functionality</v>
      </c>
      <c r="C10" s="6" t="s">
        <v>1065</v>
      </c>
      <c r="D10" s="8" t="s">
        <v>1031</v>
      </c>
      <c r="E10" s="8" t="s">
        <v>1066</v>
      </c>
      <c r="F10" s="9" t="s">
        <v>173</v>
      </c>
      <c r="G10" s="6" t="s">
        <v>1067</v>
      </c>
      <c r="H10" s="6"/>
      <c r="I10" s="6"/>
      <c r="J10" s="6"/>
      <c r="K10" s="6"/>
    </row>
    <row r="11" ht="42.75" spans="1:11">
      <c r="A11" s="6" t="s">
        <v>1068</v>
      </c>
      <c r="B11" s="7" t="str">
        <f>_xlfn.TEXTJOIN(CHAR(10),,Scenario!A16,Scenario!C16)</f>
        <v>TS007
Validate the working of 'Product page' functionality</v>
      </c>
      <c r="C11" s="6" t="s">
        <v>1069</v>
      </c>
      <c r="D11" s="8" t="s">
        <v>1031</v>
      </c>
      <c r="E11" s="8" t="s">
        <v>1070</v>
      </c>
      <c r="F11" s="9" t="s">
        <v>173</v>
      </c>
      <c r="G11" s="6" t="s">
        <v>1071</v>
      </c>
      <c r="H11" s="6"/>
      <c r="I11" s="6"/>
      <c r="J11" s="6"/>
      <c r="K11" s="6"/>
    </row>
    <row r="12" ht="28.5" spans="1:11">
      <c r="A12" s="6" t="s">
        <v>1072</v>
      </c>
      <c r="B12" s="7" t="str">
        <f>_xlfn.TEXTJOIN(CHAR(10),,Scenario!A16,Scenario!C16)</f>
        <v>TS007
Validate the working of 'Product page' functionality</v>
      </c>
      <c r="C12" s="6" t="s">
        <v>1073</v>
      </c>
      <c r="D12" s="8" t="s">
        <v>1031</v>
      </c>
      <c r="E12" s="8" t="s">
        <v>1074</v>
      </c>
      <c r="F12" s="9" t="s">
        <v>173</v>
      </c>
      <c r="G12" s="6" t="s">
        <v>1075</v>
      </c>
      <c r="H12" s="6"/>
      <c r="I12" s="6"/>
      <c r="J12" s="6"/>
      <c r="K12" s="6"/>
    </row>
    <row r="13" ht="28.5" spans="1:11">
      <c r="A13" s="6" t="s">
        <v>1076</v>
      </c>
      <c r="B13" s="7" t="str">
        <f>_xlfn.TEXTJOIN(CHAR(10),,Scenario!A16,Scenario!C16)</f>
        <v>TS007
Validate the working of 'Product page' functionality</v>
      </c>
      <c r="C13" s="6" t="s">
        <v>1077</v>
      </c>
      <c r="D13" s="8" t="s">
        <v>1031</v>
      </c>
      <c r="E13" s="8" t="s">
        <v>1078</v>
      </c>
      <c r="F13" s="9" t="s">
        <v>173</v>
      </c>
      <c r="G13" s="6" t="s">
        <v>1079</v>
      </c>
      <c r="H13" s="6"/>
      <c r="I13" s="6"/>
      <c r="J13" s="6"/>
      <c r="K13" s="6"/>
    </row>
    <row r="14" ht="28.5" spans="1:11">
      <c r="A14" s="6" t="s">
        <v>1080</v>
      </c>
      <c r="B14" s="7" t="str">
        <f>_xlfn.TEXTJOIN(CHAR(10),,Scenario!A16,Scenario!C16)</f>
        <v>TS007
Validate the working of 'Product page' functionality</v>
      </c>
      <c r="C14" s="6" t="s">
        <v>1081</v>
      </c>
      <c r="D14" s="8" t="s">
        <v>1031</v>
      </c>
      <c r="E14" s="20" t="s">
        <v>1082</v>
      </c>
      <c r="F14" s="9" t="s">
        <v>173</v>
      </c>
      <c r="G14" s="6" t="s">
        <v>1083</v>
      </c>
      <c r="H14" s="6"/>
      <c r="I14" s="6"/>
      <c r="J14" s="6"/>
      <c r="K14" s="6"/>
    </row>
    <row r="15" ht="42.75" spans="1:11">
      <c r="A15" s="6" t="s">
        <v>1084</v>
      </c>
      <c r="B15" s="7" t="str">
        <f>_xlfn.TEXTJOIN(CHAR(10),,Scenario!A16,Scenario!C16)</f>
        <v>TS007
Validate the working of 'Product page' functionality</v>
      </c>
      <c r="C15" s="6" t="s">
        <v>1085</v>
      </c>
      <c r="D15" s="8" t="s">
        <v>1031</v>
      </c>
      <c r="E15" s="8" t="s">
        <v>1086</v>
      </c>
      <c r="F15" s="79" t="s">
        <v>1087</v>
      </c>
      <c r="G15" s="6" t="s">
        <v>1088</v>
      </c>
      <c r="H15" s="6"/>
      <c r="I15" s="6"/>
      <c r="J15" s="6"/>
      <c r="K15" s="6"/>
    </row>
    <row r="16" ht="42.75" spans="1:11">
      <c r="A16" s="6" t="s">
        <v>1089</v>
      </c>
      <c r="B16" s="7" t="str">
        <f>_xlfn.TEXTJOIN(CHAR(10),,Scenario!A16,Scenario!C16)</f>
        <v>TS007
Validate the working of 'Product page' functionality</v>
      </c>
      <c r="C16" s="6" t="s">
        <v>1090</v>
      </c>
      <c r="D16" s="8" t="s">
        <v>1031</v>
      </c>
      <c r="E16" s="8" t="s">
        <v>1091</v>
      </c>
      <c r="F16" s="9" t="s">
        <v>173</v>
      </c>
      <c r="G16" s="6" t="s">
        <v>1092</v>
      </c>
      <c r="H16" s="6"/>
      <c r="I16" s="6"/>
      <c r="J16" s="6"/>
      <c r="K16" s="6"/>
    </row>
    <row r="17" ht="28.5" spans="1:11">
      <c r="A17" s="6" t="s">
        <v>1093</v>
      </c>
      <c r="B17" s="7" t="str">
        <f>_xlfn.TEXTJOIN(CHAR(10),,Scenario!A16,Scenario!C16)</f>
        <v>TS007
Validate the working of 'Product page' functionality</v>
      </c>
      <c r="C17" s="6" t="s">
        <v>1094</v>
      </c>
      <c r="D17" s="8" t="s">
        <v>1095</v>
      </c>
      <c r="E17" s="6" t="s">
        <v>1096</v>
      </c>
      <c r="F17" s="9" t="s">
        <v>173</v>
      </c>
      <c r="G17" s="6" t="s">
        <v>1097</v>
      </c>
      <c r="H17" s="6"/>
      <c r="I17" s="6"/>
      <c r="J17" s="6"/>
      <c r="K17" s="6"/>
    </row>
    <row r="18" ht="42.75" spans="1:11">
      <c r="A18" s="6" t="s">
        <v>1098</v>
      </c>
      <c r="B18" s="7" t="str">
        <f>_xlfn.TEXTJOIN(CHAR(10),,Scenario!A16,Scenario!C16)</f>
        <v>TS007
Validate the working of 'Product page' functionality</v>
      </c>
      <c r="C18" s="6" t="s">
        <v>1099</v>
      </c>
      <c r="D18" s="8" t="s">
        <v>1095</v>
      </c>
      <c r="E18" s="6" t="s">
        <v>1100</v>
      </c>
      <c r="F18" s="9" t="s">
        <v>173</v>
      </c>
      <c r="G18" s="8" t="s">
        <v>1101</v>
      </c>
      <c r="H18" s="6"/>
      <c r="I18" s="6"/>
      <c r="J18" s="6"/>
      <c r="K18" s="6"/>
    </row>
    <row r="19" ht="28.5" spans="1:11">
      <c r="A19" s="6" t="s">
        <v>1102</v>
      </c>
      <c r="B19" s="7" t="str">
        <f>_xlfn.TEXTJOIN(CHAR(10),,Scenario!A16,Scenario!C16)</f>
        <v>TS007
Validate the working of 'Product page' functionality</v>
      </c>
      <c r="C19" s="6" t="s">
        <v>1103</v>
      </c>
      <c r="D19" s="8" t="s">
        <v>1095</v>
      </c>
      <c r="E19" s="8" t="s">
        <v>1104</v>
      </c>
      <c r="F19" s="6" t="s">
        <v>1105</v>
      </c>
      <c r="G19" s="6" t="s">
        <v>1106</v>
      </c>
      <c r="H19" s="6"/>
      <c r="I19" s="6"/>
      <c r="J19" s="6"/>
      <c r="K19" s="6"/>
    </row>
    <row r="20" ht="28.5" spans="1:11">
      <c r="A20" s="6" t="s">
        <v>1107</v>
      </c>
      <c r="B20" s="7" t="str">
        <f>_xlfn.TEXTJOIN(CHAR(10),,Scenario!A16,Scenario!C16)</f>
        <v>TS007
Validate the working of 'Product page' functionality</v>
      </c>
      <c r="C20" s="6" t="s">
        <v>1108</v>
      </c>
      <c r="D20" s="8" t="s">
        <v>1095</v>
      </c>
      <c r="E20" s="8" t="s">
        <v>1109</v>
      </c>
      <c r="F20" s="6" t="s">
        <v>1110</v>
      </c>
      <c r="G20" s="6" t="s">
        <v>1111</v>
      </c>
      <c r="H20" s="6"/>
      <c r="I20" s="6"/>
      <c r="J20" s="6"/>
      <c r="K20" s="6"/>
    </row>
    <row r="21" ht="28.5" spans="1:11">
      <c r="A21" s="6" t="s">
        <v>1112</v>
      </c>
      <c r="B21" s="7" t="str">
        <f>_xlfn.TEXTJOIN(CHAR(10),,Scenario!A16,Scenario!C16)</f>
        <v>TS007
Validate the working of 'Product page' functionality</v>
      </c>
      <c r="C21" s="6" t="s">
        <v>1113</v>
      </c>
      <c r="D21" s="8" t="s">
        <v>1095</v>
      </c>
      <c r="E21" s="8" t="s">
        <v>393</v>
      </c>
      <c r="F21" s="9" t="s">
        <v>173</v>
      </c>
      <c r="G21" s="6" t="s">
        <v>1114</v>
      </c>
      <c r="H21" s="6"/>
      <c r="I21" s="6"/>
      <c r="J21" s="6"/>
      <c r="K21" s="6"/>
    </row>
    <row r="22" ht="28.5" spans="1:11">
      <c r="A22" s="6" t="s">
        <v>1115</v>
      </c>
      <c r="B22" s="7" t="str">
        <f>_xlfn.TEXTJOIN(CHAR(10),,Scenario!A16,Scenario!C16)</f>
        <v>TS007
Validate the working of 'Product page' functionality</v>
      </c>
      <c r="C22" s="6" t="s">
        <v>1116</v>
      </c>
      <c r="D22" s="8" t="s">
        <v>1095</v>
      </c>
      <c r="E22" s="8" t="s">
        <v>1117</v>
      </c>
      <c r="F22" s="6" t="s">
        <v>1118</v>
      </c>
      <c r="G22" s="6" t="s">
        <v>1119</v>
      </c>
      <c r="H22" s="6"/>
      <c r="I22" s="6"/>
      <c r="J22" s="6"/>
      <c r="K22" s="6"/>
    </row>
    <row r="23" ht="28.5" spans="1:11">
      <c r="A23" s="6" t="s">
        <v>1120</v>
      </c>
      <c r="B23" s="7" t="str">
        <f>_xlfn.TEXTJOIN(CHAR(10),,Scenario!A16,Scenario!C16)</f>
        <v>TS007
Validate the working of 'Product page' functionality</v>
      </c>
      <c r="C23" s="6" t="s">
        <v>1121</v>
      </c>
      <c r="D23" s="8" t="s">
        <v>1095</v>
      </c>
      <c r="E23" s="8" t="s">
        <v>1122</v>
      </c>
      <c r="F23" s="9" t="s">
        <v>173</v>
      </c>
      <c r="G23" s="6" t="s">
        <v>1123</v>
      </c>
      <c r="H23" s="6"/>
      <c r="I23" s="6"/>
      <c r="J23" s="6"/>
      <c r="K23" s="6"/>
    </row>
    <row r="24" ht="42.75" spans="1:11">
      <c r="A24" s="6" t="s">
        <v>1124</v>
      </c>
      <c r="B24" s="7" t="str">
        <f>_xlfn.TEXTJOIN(CHAR(10),,Scenario!A16,Scenario!C16)</f>
        <v>TS007
Validate the working of 'Product page' functionality</v>
      </c>
      <c r="C24" s="6" t="s">
        <v>1125</v>
      </c>
      <c r="D24" s="8" t="s">
        <v>1095</v>
      </c>
      <c r="E24" s="8" t="s">
        <v>1126</v>
      </c>
      <c r="F24" s="6" t="s">
        <v>1127</v>
      </c>
      <c r="G24" s="6" t="s">
        <v>1128</v>
      </c>
      <c r="H24" s="6"/>
      <c r="I24" s="6"/>
      <c r="J24" s="6"/>
      <c r="K24" s="6"/>
    </row>
    <row r="25" ht="28.5" spans="1:11">
      <c r="A25" s="6" t="s">
        <v>1129</v>
      </c>
      <c r="B25" s="7" t="str">
        <f>_xlfn.TEXTJOIN(CHAR(10),,Scenario!A16,Scenario!C16)</f>
        <v>TS007
Validate the working of 'Product page' functionality</v>
      </c>
      <c r="C25" s="6" t="s">
        <v>1130</v>
      </c>
      <c r="D25" s="8" t="s">
        <v>1095</v>
      </c>
      <c r="E25" s="8" t="s">
        <v>1131</v>
      </c>
      <c r="F25" s="9" t="s">
        <v>173</v>
      </c>
      <c r="G25" s="6" t="s">
        <v>1132</v>
      </c>
      <c r="H25" s="6"/>
      <c r="I25" s="6"/>
      <c r="J25" s="6"/>
      <c r="K25" s="6"/>
    </row>
    <row r="26" ht="42.75" spans="1:11">
      <c r="A26" s="6" t="s">
        <v>1133</v>
      </c>
      <c r="B26" s="7" t="str">
        <f>_xlfn.TEXTJOIN(CHAR(10),,Scenario!A16,Scenario!C16)</f>
        <v>TS007
Validate the working of 'Product page' functionality</v>
      </c>
      <c r="C26" s="6" t="s">
        <v>1134</v>
      </c>
      <c r="D26" s="8" t="s">
        <v>1095</v>
      </c>
      <c r="E26" s="8" t="s">
        <v>1135</v>
      </c>
      <c r="F26" s="6" t="s">
        <v>1136</v>
      </c>
      <c r="G26" s="6" t="s">
        <v>1137</v>
      </c>
      <c r="H26" s="6"/>
      <c r="I26" s="6"/>
      <c r="J26" s="6"/>
      <c r="K26" s="6"/>
    </row>
    <row r="27" ht="42.75" spans="1:11">
      <c r="A27" s="6" t="s">
        <v>1138</v>
      </c>
      <c r="B27" s="7" t="str">
        <f>_xlfn.TEXTJOIN(CHAR(10),,Scenario!A16,Scenario!C16)</f>
        <v>TS007
Validate the working of 'Product page' functionality</v>
      </c>
      <c r="C27" s="20" t="s">
        <v>1139</v>
      </c>
      <c r="D27" s="8" t="s">
        <v>1095</v>
      </c>
      <c r="E27" s="8" t="s">
        <v>1135</v>
      </c>
      <c r="F27" s="6" t="s">
        <v>1140</v>
      </c>
      <c r="G27" s="6" t="s">
        <v>1141</v>
      </c>
      <c r="H27" s="6"/>
      <c r="I27" s="6"/>
      <c r="J27" s="6"/>
      <c r="K27" s="6"/>
    </row>
    <row r="28" ht="57" spans="1:11">
      <c r="A28" s="21" t="s">
        <v>1142</v>
      </c>
      <c r="B28" s="22" t="str">
        <f>_xlfn.TEXTJOIN(CHAR(10),,Scenario!A16,Scenario!C16)</f>
        <v>TS007
Validate the working of 'Product page' functionality</v>
      </c>
      <c r="C28" s="21" t="s">
        <v>1143</v>
      </c>
      <c r="D28" s="23" t="s">
        <v>1031</v>
      </c>
      <c r="E28" s="23" t="s">
        <v>1144</v>
      </c>
      <c r="F28" s="24" t="s">
        <v>1145</v>
      </c>
      <c r="G28" s="21" t="s">
        <v>1146</v>
      </c>
      <c r="H28" s="21"/>
      <c r="I28" s="21"/>
      <c r="J28" s="21"/>
      <c r="K28" s="21"/>
    </row>
    <row r="29" ht="57" spans="1:11">
      <c r="A29" s="6" t="s">
        <v>1147</v>
      </c>
      <c r="B29" s="7" t="str">
        <f>_xlfn.TEXTJOIN(CHAR(10),,Scenario!A16,Scenario!C16)</f>
        <v>TS007
Validate the working of 'Product page' functionality</v>
      </c>
      <c r="C29" s="6" t="s">
        <v>1148</v>
      </c>
      <c r="D29" s="6" t="s">
        <v>1149</v>
      </c>
      <c r="E29" s="6" t="s">
        <v>393</v>
      </c>
      <c r="F29" s="9" t="s">
        <v>173</v>
      </c>
      <c r="G29" s="8" t="s">
        <v>1150</v>
      </c>
      <c r="H29" s="6"/>
      <c r="I29" s="6"/>
      <c r="J29" s="6"/>
      <c r="K29" s="6"/>
    </row>
    <row r="30" ht="28.5" spans="1:11">
      <c r="A30" s="6" t="s">
        <v>1151</v>
      </c>
      <c r="B30" s="7" t="str">
        <f>_xlfn.TEXTJOIN(CHAR(10),,Scenario!A16,Scenario!C16)</f>
        <v>TS007
Validate the working of 'Product page' functionality</v>
      </c>
      <c r="C30" s="6" t="s">
        <v>1152</v>
      </c>
      <c r="D30" s="6" t="s">
        <v>1149</v>
      </c>
      <c r="E30" s="8" t="s">
        <v>1153</v>
      </c>
      <c r="F30" s="6" t="s">
        <v>818</v>
      </c>
      <c r="G30" s="8" t="s">
        <v>1154</v>
      </c>
      <c r="H30" s="6"/>
      <c r="I30" s="6"/>
      <c r="J30" s="6"/>
      <c r="K30" s="6"/>
    </row>
    <row r="31" ht="28.5" spans="1:11">
      <c r="A31" s="6" t="s">
        <v>1155</v>
      </c>
      <c r="B31" s="7" t="str">
        <f>_xlfn.TEXTJOIN(CHAR(10),,Scenario!A16,Scenario!C16)</f>
        <v>TS007
Validate the working of 'Product page' functionality</v>
      </c>
      <c r="C31" s="6" t="s">
        <v>1156</v>
      </c>
      <c r="D31" s="6" t="s">
        <v>1149</v>
      </c>
      <c r="E31" s="8" t="s">
        <v>1157</v>
      </c>
      <c r="F31" s="6" t="s">
        <v>1158</v>
      </c>
      <c r="G31" s="6" t="s">
        <v>1159</v>
      </c>
      <c r="H31" s="6"/>
      <c r="I31" s="6"/>
      <c r="J31" s="6"/>
      <c r="K31" s="6"/>
    </row>
    <row r="32" spans="1:11">
      <c r="B32"/>
      <c r="E32"/>
      <c r="F32"/>
    </row>
    <row r="33" spans="2:6">
      <c r="B33"/>
      <c r="E33"/>
      <c r="F33"/>
    </row>
    <row r="34" spans="2:6">
      <c r="B34"/>
      <c r="E34"/>
      <c r="F34"/>
    </row>
    <row r="35" spans="2:6">
      <c r="B35"/>
      <c r="E35"/>
      <c r="F35"/>
    </row>
    <row r="36" spans="2:6">
      <c r="B36"/>
    </row>
    <row r="37" spans="2:6">
      <c r="B37"/>
    </row>
    <row r="38" spans="2:6">
      <c r="B38"/>
    </row>
    <row r="39" spans="2:6">
      <c r="B39"/>
    </row>
    <row r="40" spans="2:6">
      <c r="B40"/>
    </row>
    <row r="41" spans="2:6">
      <c r="B41"/>
    </row>
    <row r="42" spans="2:6">
      <c r="B42"/>
    </row>
    <row r="43" spans="2:6">
      <c r="B43"/>
    </row>
    <row r="44" spans="2:6">
      <c r="B44"/>
    </row>
    <row r="45" spans="2:6">
      <c r="B45"/>
    </row>
    <row r="46" spans="2:6">
      <c r="B46"/>
    </row>
    <row r="47" spans="2:6">
      <c r="B47"/>
    </row>
    <row r="48" spans="2:6">
      <c r="B48"/>
    </row>
    <row r="49" spans="2:2">
      <c r="B49"/>
    </row>
    <row r="50" spans="2:2">
      <c r="B50"/>
    </row>
    <row r="51" spans="2:2">
      <c r="B51"/>
    </row>
    <row r="52" spans="2:2">
      <c r="B52"/>
    </row>
  </sheetData>
  <dataValidations count="1">
    <dataValidation type="list" allowBlank="1" showInputMessage="1" showErrorMessage="1" sqref="J2:J31">
      <formula1>"Pass,Defect"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36"/>
  <sheetViews>
    <sheetView zoomScale="85" zoomScaleNormal="85" topLeftCell="A10" workbookViewId="0">
      <selection activeCell="K17" sqref="K17"/>
    </sheetView>
  </sheetViews>
  <sheetFormatPr defaultColWidth="9" defaultRowHeight="14.25"/>
  <cols>
    <col min="1" max="1" width="13.125" customWidth="1"/>
    <col min="2" max="2" width="52.6" style="12" customWidth="1"/>
    <col min="3" max="3" width="60.2833333333333" customWidth="1"/>
    <col min="4" max="4" width="38.0833333333333" customWidth="1"/>
    <col min="5" max="5" width="47.3416666666667" customWidth="1"/>
    <col min="6" max="6" width="28.75" customWidth="1"/>
    <col min="7" max="7" width="64.75" customWidth="1"/>
    <col min="8" max="8" width="13.375" customWidth="1"/>
    <col min="9" max="9" width="7.75" customWidth="1"/>
    <col min="10" max="10" width="7.125" customWidth="1"/>
    <col min="11" max="11" width="42.725" customWidth="1"/>
  </cols>
  <sheetData>
    <row r="1" ht="15" spans="1:11">
      <c r="A1" s="4" t="s">
        <v>160</v>
      </c>
      <c r="B1" s="4" t="s">
        <v>161</v>
      </c>
      <c r="C1" s="5" t="s">
        <v>162</v>
      </c>
      <c r="D1" s="4" t="s">
        <v>163</v>
      </c>
      <c r="E1" s="4" t="s">
        <v>164</v>
      </c>
      <c r="F1" s="4" t="s">
        <v>165</v>
      </c>
      <c r="G1" s="5" t="s">
        <v>166</v>
      </c>
      <c r="H1" s="4" t="s">
        <v>24</v>
      </c>
      <c r="I1" s="4" t="s">
        <v>26</v>
      </c>
      <c r="J1" s="4" t="s">
        <v>167</v>
      </c>
      <c r="K1" s="4" t="s">
        <v>168</v>
      </c>
    </row>
    <row r="2" ht="28.5" spans="1:11">
      <c r="A2" s="6" t="s">
        <v>1160</v>
      </c>
      <c r="B2" s="7" t="str">
        <f>_xlfn.TEXTJOIN(CHAR(10),,Scenario!A19,Scenario!C19)</f>
        <v>TS010
Validate the working of 'Shopping Cart page' functionality</v>
      </c>
      <c r="C2" s="8" t="s">
        <v>1161</v>
      </c>
      <c r="D2" s="8" t="s">
        <v>1162</v>
      </c>
      <c r="E2" s="8" t="s">
        <v>1163</v>
      </c>
      <c r="F2" s="6" t="s">
        <v>173</v>
      </c>
      <c r="G2" s="6" t="s">
        <v>1164</v>
      </c>
      <c r="H2" s="6"/>
      <c r="I2" s="6"/>
      <c r="J2" s="6"/>
      <c r="K2" s="6"/>
    </row>
    <row r="3" ht="42.75" spans="1:11">
      <c r="A3" s="6" t="s">
        <v>1165</v>
      </c>
      <c r="B3" s="7" t="str">
        <f>_xlfn.TEXTJOIN(CHAR(10),,Scenario!A19,Scenario!C19)</f>
        <v>TS010
Validate the working of 'Shopping Cart page' functionality</v>
      </c>
      <c r="C3" s="8" t="s">
        <v>1166</v>
      </c>
      <c r="D3" s="8" t="s">
        <v>1167</v>
      </c>
      <c r="E3" s="6" t="s">
        <v>393</v>
      </c>
      <c r="F3" s="6" t="s">
        <v>173</v>
      </c>
      <c r="G3" s="8" t="s">
        <v>1168</v>
      </c>
      <c r="H3" s="6"/>
      <c r="I3" s="6"/>
      <c r="J3" s="6"/>
      <c r="K3" s="6"/>
    </row>
    <row r="4" ht="42.75" spans="1:11">
      <c r="A4" s="6" t="s">
        <v>1169</v>
      </c>
      <c r="B4" s="7" t="str">
        <f>_xlfn.TEXTJOIN(CHAR(10),,Scenario!A19,Scenario!C19)</f>
        <v>TS010
Validate the working of 'Shopping Cart page' functionality</v>
      </c>
      <c r="C4" s="8" t="s">
        <v>1170</v>
      </c>
      <c r="D4" s="8" t="s">
        <v>1167</v>
      </c>
      <c r="E4" s="8" t="s">
        <v>1171</v>
      </c>
      <c r="F4" s="6" t="s">
        <v>1049</v>
      </c>
      <c r="G4" s="8" t="s">
        <v>1172</v>
      </c>
      <c r="H4" s="6"/>
      <c r="I4" s="6"/>
      <c r="J4" s="6"/>
      <c r="K4" s="6"/>
    </row>
    <row r="5" ht="42.75" spans="1:11">
      <c r="A5" s="6" t="s">
        <v>1173</v>
      </c>
      <c r="B5" s="7" t="str">
        <f>_xlfn.TEXTJOIN(CHAR(10),,Scenario!A19,Scenario!C19)</f>
        <v>TS010
Validate the working of 'Shopping Cart page' functionality</v>
      </c>
      <c r="C5" s="8" t="s">
        <v>1174</v>
      </c>
      <c r="D5" s="8" t="s">
        <v>1167</v>
      </c>
      <c r="E5" s="8" t="s">
        <v>1171</v>
      </c>
      <c r="F5" s="6" t="s">
        <v>1175</v>
      </c>
      <c r="G5" s="8" t="s">
        <v>1176</v>
      </c>
      <c r="H5" s="6"/>
      <c r="I5" s="6"/>
      <c r="J5" s="6"/>
      <c r="K5" s="6"/>
    </row>
    <row r="6" ht="42.75" spans="1:11">
      <c r="A6" s="6" t="s">
        <v>1177</v>
      </c>
      <c r="B6" s="7" t="str">
        <f>_xlfn.TEXTJOIN(CHAR(10),,Scenario!A19,Scenario!C19)</f>
        <v>TS010
Validate the working of 'Shopping Cart page' functionality</v>
      </c>
      <c r="C6" s="8" t="s">
        <v>1178</v>
      </c>
      <c r="D6" s="8" t="s">
        <v>1167</v>
      </c>
      <c r="E6" s="8" t="s">
        <v>1171</v>
      </c>
      <c r="F6" s="6" t="s">
        <v>1179</v>
      </c>
      <c r="G6" s="18" t="s">
        <v>1180</v>
      </c>
      <c r="H6" s="6"/>
      <c r="I6" s="6"/>
      <c r="J6" s="6"/>
      <c r="K6" s="6"/>
    </row>
    <row r="7" ht="42.75" spans="1:11">
      <c r="A7" s="6" t="s">
        <v>1181</v>
      </c>
      <c r="B7" s="7" t="str">
        <f>_xlfn.TEXTJOIN(CHAR(10),,Scenario!A19,Scenario!C19)</f>
        <v>TS010
Validate the working of 'Shopping Cart page' functionality</v>
      </c>
      <c r="C7" s="8" t="s">
        <v>1182</v>
      </c>
      <c r="D7" s="8" t="s">
        <v>1167</v>
      </c>
      <c r="E7" s="8" t="s">
        <v>1183</v>
      </c>
      <c r="F7" s="6" t="s">
        <v>173</v>
      </c>
      <c r="G7" s="8" t="s">
        <v>1184</v>
      </c>
      <c r="H7" s="6"/>
      <c r="I7" s="6"/>
      <c r="J7" s="6"/>
      <c r="K7" s="6"/>
    </row>
    <row r="8" ht="42.75" spans="1:11">
      <c r="A8" s="6" t="s">
        <v>1185</v>
      </c>
      <c r="B8" s="7" t="str">
        <f>_xlfn.TEXTJOIN(CHAR(10),,Scenario!A19,Scenario!C19)</f>
        <v>TS010
Validate the working of 'Shopping Cart page' functionality</v>
      </c>
      <c r="C8" s="8" t="s">
        <v>1186</v>
      </c>
      <c r="D8" s="8" t="s">
        <v>1167</v>
      </c>
      <c r="E8" s="6" t="s">
        <v>393</v>
      </c>
      <c r="F8" s="6" t="s">
        <v>173</v>
      </c>
      <c r="G8" s="8" t="s">
        <v>1187</v>
      </c>
      <c r="H8" s="6"/>
      <c r="I8" s="6"/>
      <c r="J8" s="6"/>
      <c r="K8" s="6"/>
    </row>
    <row r="9" ht="42.75" spans="1:11">
      <c r="A9" s="6" t="s">
        <v>1188</v>
      </c>
      <c r="B9" s="7" t="str">
        <f>_xlfn.TEXTJOIN(CHAR(10),,Scenario!A19,Scenario!C19)</f>
        <v>TS010
Validate the working of 'Shopping Cart page' functionality</v>
      </c>
      <c r="C9" s="8" t="s">
        <v>1189</v>
      </c>
      <c r="D9" s="8" t="s">
        <v>1167</v>
      </c>
      <c r="E9" s="6" t="s">
        <v>1190</v>
      </c>
      <c r="F9" s="6" t="s">
        <v>173</v>
      </c>
      <c r="G9" s="8" t="s">
        <v>1191</v>
      </c>
      <c r="H9" s="6"/>
      <c r="I9" s="6"/>
      <c r="J9" s="6"/>
      <c r="K9" s="6"/>
    </row>
    <row r="10" ht="57" spans="1:11">
      <c r="A10" s="6" t="s">
        <v>1192</v>
      </c>
      <c r="B10" s="7" t="str">
        <f>_xlfn.TEXTJOIN(CHAR(10),,Scenario!A19,Scenario!C19)</f>
        <v>TS010
Validate the working of 'Shopping Cart page' functionality</v>
      </c>
      <c r="C10" s="8" t="s">
        <v>1193</v>
      </c>
      <c r="D10" s="8" t="s">
        <v>1194</v>
      </c>
      <c r="E10" s="6" t="s">
        <v>1190</v>
      </c>
      <c r="F10" s="6" t="s">
        <v>173</v>
      </c>
      <c r="G10" s="8" t="s">
        <v>1195</v>
      </c>
      <c r="H10" s="6"/>
      <c r="I10" s="6"/>
      <c r="J10" s="6"/>
      <c r="K10" s="6"/>
    </row>
    <row r="11" ht="57" spans="1:11">
      <c r="A11" s="6" t="s">
        <v>1196</v>
      </c>
      <c r="B11" s="7" t="str">
        <f>_xlfn.TEXTJOIN(CHAR(10),,Scenario!A19,Scenario!C19)</f>
        <v>TS010
Validate the working of 'Shopping Cart page' functionality</v>
      </c>
      <c r="C11" s="8" t="s">
        <v>1197</v>
      </c>
      <c r="D11" s="8" t="s">
        <v>1194</v>
      </c>
      <c r="E11" s="8" t="s">
        <v>1198</v>
      </c>
      <c r="F11" s="6" t="s">
        <v>1199</v>
      </c>
      <c r="G11" s="8" t="s">
        <v>1200</v>
      </c>
      <c r="H11" s="6"/>
      <c r="I11" s="6"/>
      <c r="J11" s="6"/>
      <c r="K11" s="6"/>
    </row>
    <row r="12" ht="57" spans="1:11">
      <c r="A12" s="6" t="s">
        <v>1201</v>
      </c>
      <c r="B12" s="7" t="str">
        <f>_xlfn.TEXTJOIN(CHAR(10),,Scenario!A19,Scenario!C19)</f>
        <v>TS010
Validate the working of 'Shopping Cart page' functionality</v>
      </c>
      <c r="C12" s="8" t="s">
        <v>1202</v>
      </c>
      <c r="D12" s="8" t="s">
        <v>1194</v>
      </c>
      <c r="E12" s="8" t="s">
        <v>1203</v>
      </c>
      <c r="F12" s="6" t="s">
        <v>1204</v>
      </c>
      <c r="G12" s="8" t="s">
        <v>1205</v>
      </c>
      <c r="H12" s="6"/>
      <c r="I12" s="6"/>
      <c r="J12" s="6"/>
      <c r="K12" s="6"/>
    </row>
    <row r="13" ht="57" spans="1:11">
      <c r="A13" s="6" t="s">
        <v>1206</v>
      </c>
      <c r="B13" s="7" t="str">
        <f>_xlfn.TEXTJOIN(CHAR(10),,Scenario!A19,Scenario!C19)</f>
        <v>TS010
Validate the working of 'Shopping Cart page' functionality</v>
      </c>
      <c r="C13" s="8" t="s">
        <v>1207</v>
      </c>
      <c r="D13" s="8" t="s">
        <v>1194</v>
      </c>
      <c r="E13" s="8" t="s">
        <v>1203</v>
      </c>
      <c r="F13" s="6" t="s">
        <v>1208</v>
      </c>
      <c r="G13" s="8" t="s">
        <v>1209</v>
      </c>
      <c r="H13" s="6"/>
      <c r="I13" s="6"/>
      <c r="J13" s="6"/>
      <c r="K13" s="6"/>
    </row>
    <row r="14" ht="57" spans="1:11">
      <c r="A14" s="6" t="s">
        <v>1210</v>
      </c>
      <c r="B14" s="7" t="str">
        <f>_xlfn.TEXTJOIN(CHAR(10),,Scenario!A19,Scenario!C19)</f>
        <v>TS010
Validate the working of 'Shopping Cart page' functionality</v>
      </c>
      <c r="C14" s="8" t="s">
        <v>1211</v>
      </c>
      <c r="D14" s="8" t="s">
        <v>1194</v>
      </c>
      <c r="E14" s="8" t="s">
        <v>1203</v>
      </c>
      <c r="F14" s="6" t="s">
        <v>1212</v>
      </c>
      <c r="G14" s="8" t="s">
        <v>1213</v>
      </c>
      <c r="H14" s="6"/>
      <c r="I14" s="6"/>
      <c r="J14" s="6"/>
      <c r="K14" s="6"/>
    </row>
    <row r="15" ht="42.75" spans="1:11">
      <c r="A15" s="6" t="s">
        <v>1214</v>
      </c>
      <c r="B15" s="7" t="str">
        <f>_xlfn.TEXTJOIN(CHAR(10),,Scenario!A19,Scenario!C19)</f>
        <v>TS010
Validate the working of 'Shopping Cart page' functionality</v>
      </c>
      <c r="C15" s="8" t="s">
        <v>1215</v>
      </c>
      <c r="D15" s="8" t="s">
        <v>1167</v>
      </c>
      <c r="E15" s="8" t="s">
        <v>1216</v>
      </c>
      <c r="F15" s="6" t="s">
        <v>173</v>
      </c>
      <c r="G15" s="8" t="s">
        <v>1217</v>
      </c>
      <c r="H15" s="6"/>
      <c r="I15" s="6"/>
      <c r="J15" s="6"/>
      <c r="K15" s="6"/>
    </row>
    <row r="16" ht="57" spans="1:11">
      <c r="A16" s="6" t="s">
        <v>1218</v>
      </c>
      <c r="B16" s="7" t="str">
        <f>_xlfn.TEXTJOIN(CHAR(10),,Scenario!A19,Scenario!C19)</f>
        <v>TS010
Validate the working of 'Shopping Cart page' functionality</v>
      </c>
      <c r="C16" s="8" t="s">
        <v>1219</v>
      </c>
      <c r="D16" s="8" t="s">
        <v>1220</v>
      </c>
      <c r="E16" s="8" t="s">
        <v>1216</v>
      </c>
      <c r="F16" s="6" t="s">
        <v>173</v>
      </c>
      <c r="G16" s="8" t="s">
        <v>1221</v>
      </c>
      <c r="H16" s="6"/>
      <c r="I16" s="6"/>
      <c r="J16" s="6"/>
      <c r="K16" s="6"/>
    </row>
    <row r="17" ht="57" spans="1:11">
      <c r="A17" s="6" t="s">
        <v>1222</v>
      </c>
      <c r="B17" s="7" t="str">
        <f>_xlfn.TEXTJOIN(CHAR(10),,Scenario!A19,Scenario!C19)</f>
        <v>TS010
Validate the working of 'Shopping Cart page' functionality</v>
      </c>
      <c r="C17" s="8" t="s">
        <v>1223</v>
      </c>
      <c r="D17" s="8" t="s">
        <v>1220</v>
      </c>
      <c r="E17" s="6" t="s">
        <v>393</v>
      </c>
      <c r="F17" s="6" t="s">
        <v>173</v>
      </c>
      <c r="G17" s="8" t="s">
        <v>1224</v>
      </c>
      <c r="H17" s="6"/>
      <c r="I17" s="6"/>
      <c r="J17" s="6"/>
      <c r="K17" s="6"/>
    </row>
    <row r="18" ht="57" spans="1:11">
      <c r="A18" s="6" t="s">
        <v>1225</v>
      </c>
      <c r="B18" s="7" t="str">
        <f>_xlfn.TEXTJOIN(CHAR(10),,Scenario!A19,Scenario!C19)</f>
        <v>TS010
Validate the working of 'Shopping Cart page' functionality</v>
      </c>
      <c r="C18" s="8" t="s">
        <v>1226</v>
      </c>
      <c r="D18" s="8" t="s">
        <v>1220</v>
      </c>
      <c r="E18" s="8" t="s">
        <v>1227</v>
      </c>
      <c r="F18" s="6" t="s">
        <v>1228</v>
      </c>
      <c r="G18" s="8" t="s">
        <v>1229</v>
      </c>
      <c r="H18" s="6"/>
      <c r="I18" s="6"/>
      <c r="J18" s="6"/>
      <c r="K18" s="6"/>
    </row>
    <row r="19" ht="57" spans="1:11">
      <c r="A19" s="6" t="s">
        <v>1230</v>
      </c>
      <c r="B19" s="7" t="str">
        <f>_xlfn.TEXTJOIN(CHAR(10),,Scenario!A19,Scenario!C19)</f>
        <v>TS010
Validate the working of 'Shopping Cart page' functionality</v>
      </c>
      <c r="C19" s="8" t="s">
        <v>1231</v>
      </c>
      <c r="D19" s="8" t="s">
        <v>1220</v>
      </c>
      <c r="E19" s="8" t="s">
        <v>1232</v>
      </c>
      <c r="F19" s="6" t="s">
        <v>1233</v>
      </c>
      <c r="G19" s="8" t="s">
        <v>1234</v>
      </c>
      <c r="H19" s="6"/>
      <c r="I19" s="6"/>
      <c r="J19" s="6"/>
      <c r="K19" s="6"/>
    </row>
    <row r="20" ht="57" spans="1:11">
      <c r="A20" s="6" t="s">
        <v>1235</v>
      </c>
      <c r="B20" s="7" t="str">
        <f>_xlfn.TEXTJOIN(CHAR(10),,Scenario!A19,Scenario!C19)</f>
        <v>TS010
Validate the working of 'Shopping Cart page' functionality</v>
      </c>
      <c r="C20" s="8" t="s">
        <v>1236</v>
      </c>
      <c r="D20" s="8" t="s">
        <v>1220</v>
      </c>
      <c r="E20" s="6" t="s">
        <v>1237</v>
      </c>
      <c r="F20" s="6" t="s">
        <v>173</v>
      </c>
      <c r="G20" s="8" t="s">
        <v>1238</v>
      </c>
      <c r="H20" s="6"/>
      <c r="I20" s="6"/>
      <c r="J20" s="6"/>
      <c r="K20" s="6"/>
    </row>
    <row r="21" ht="57" spans="1:11">
      <c r="A21" s="6" t="s">
        <v>1239</v>
      </c>
      <c r="B21" s="7" t="str">
        <f>_xlfn.TEXTJOIN(CHAR(10),,Scenario!A19,Scenario!C19)</f>
        <v>TS010
Validate the working of 'Shopping Cart page' functionality</v>
      </c>
      <c r="C21" s="8" t="s">
        <v>1240</v>
      </c>
      <c r="D21" s="8" t="s">
        <v>1220</v>
      </c>
      <c r="E21" s="8" t="s">
        <v>1241</v>
      </c>
      <c r="F21" s="6" t="s">
        <v>1242</v>
      </c>
      <c r="G21" s="8" t="s">
        <v>1243</v>
      </c>
      <c r="H21" s="6"/>
      <c r="I21" s="6"/>
      <c r="J21" s="6"/>
      <c r="K21" s="6"/>
    </row>
    <row r="22" ht="71.25" spans="1:11">
      <c r="A22" s="6" t="s">
        <v>1244</v>
      </c>
      <c r="B22" s="7" t="str">
        <f>_xlfn.TEXTJOIN(CHAR(10),,Scenario!A19,Scenario!C19)</f>
        <v>TS010
Validate the working of 'Shopping Cart page' functionality</v>
      </c>
      <c r="C22" s="8" t="s">
        <v>1245</v>
      </c>
      <c r="D22" s="8" t="s">
        <v>1246</v>
      </c>
      <c r="E22" s="8" t="s">
        <v>1247</v>
      </c>
      <c r="F22" s="8" t="s">
        <v>1248</v>
      </c>
      <c r="G22" s="8" t="s">
        <v>1249</v>
      </c>
      <c r="H22" s="6"/>
      <c r="I22" s="6"/>
      <c r="J22" s="6"/>
      <c r="K22" s="6"/>
    </row>
    <row r="23" ht="71.25" spans="1:11">
      <c r="A23" s="6" t="s">
        <v>1250</v>
      </c>
      <c r="B23" s="7" t="str">
        <f>_xlfn.TEXTJOIN(CHAR(10),,Scenario!A19,Scenario!C19)</f>
        <v>TS010
Validate the working of 'Shopping Cart page' functionality</v>
      </c>
      <c r="C23" s="8" t="s">
        <v>1251</v>
      </c>
      <c r="D23" s="8" t="s">
        <v>1246</v>
      </c>
      <c r="E23" s="8" t="s">
        <v>1252</v>
      </c>
      <c r="F23" s="8" t="s">
        <v>1253</v>
      </c>
      <c r="G23" s="8" t="s">
        <v>1254</v>
      </c>
      <c r="H23" s="6"/>
      <c r="I23" s="6"/>
      <c r="J23" s="6"/>
      <c r="K23" s="6"/>
    </row>
    <row r="24" ht="57" spans="1:11">
      <c r="A24" s="6" t="s">
        <v>1255</v>
      </c>
      <c r="B24" s="7" t="str">
        <f>_xlfn.TEXTJOIN(CHAR(10),,Scenario!A19,Scenario!C19)</f>
        <v>TS010
Validate the working of 'Shopping Cart page' functionality</v>
      </c>
      <c r="C24" s="8" t="s">
        <v>1256</v>
      </c>
      <c r="D24" s="8" t="s">
        <v>1220</v>
      </c>
      <c r="E24" s="8" t="s">
        <v>1257</v>
      </c>
      <c r="F24" s="6" t="s">
        <v>1258</v>
      </c>
      <c r="G24" s="8" t="s">
        <v>1259</v>
      </c>
      <c r="H24" s="6"/>
      <c r="I24" s="6"/>
      <c r="J24" s="6"/>
      <c r="K24" s="6"/>
    </row>
    <row r="25" ht="57" spans="1:11">
      <c r="A25" s="6" t="s">
        <v>1260</v>
      </c>
      <c r="B25" s="7" t="str">
        <f>_xlfn.TEXTJOIN(CHAR(10),,Scenario!A19,Scenario!C19)</f>
        <v>TS010
Validate the working of 'Shopping Cart page' functionality</v>
      </c>
      <c r="C25" s="8" t="s">
        <v>1261</v>
      </c>
      <c r="D25" s="8" t="s">
        <v>1220</v>
      </c>
      <c r="E25" s="8" t="s">
        <v>1257</v>
      </c>
      <c r="F25" s="6" t="s">
        <v>1262</v>
      </c>
      <c r="G25" s="8" t="s">
        <v>1263</v>
      </c>
      <c r="H25" s="6"/>
      <c r="I25" s="6"/>
      <c r="J25" s="6"/>
      <c r="K25" s="6"/>
    </row>
    <row r="26" ht="57" spans="1:11">
      <c r="A26" s="6" t="s">
        <v>1264</v>
      </c>
      <c r="B26" s="7" t="str">
        <f>_xlfn.TEXTJOIN(CHAR(10),,Scenario!A19,Scenario!C19)</f>
        <v>TS010
Validate the working of 'Shopping Cart page' functionality</v>
      </c>
      <c r="C26" s="8" t="s">
        <v>1265</v>
      </c>
      <c r="D26" s="8" t="s">
        <v>1220</v>
      </c>
      <c r="E26" s="8" t="s">
        <v>1257</v>
      </c>
      <c r="F26" s="6" t="s">
        <v>1266</v>
      </c>
      <c r="G26" s="8" t="s">
        <v>1263</v>
      </c>
      <c r="H26" s="6"/>
      <c r="I26" s="6"/>
      <c r="J26" s="6"/>
      <c r="K26" s="6"/>
    </row>
    <row r="27" ht="57" spans="1:11">
      <c r="A27" s="6" t="s">
        <v>1267</v>
      </c>
      <c r="B27" s="7" t="str">
        <f>_xlfn.TEXTJOIN(CHAR(10),,Scenario!A19,Scenario!C19)</f>
        <v>TS010
Validate the working of 'Shopping Cart page' functionality</v>
      </c>
      <c r="C27" s="8" t="s">
        <v>1268</v>
      </c>
      <c r="D27" s="8" t="s">
        <v>1220</v>
      </c>
      <c r="E27" s="8" t="s">
        <v>1269</v>
      </c>
      <c r="F27" s="8" t="s">
        <v>1270</v>
      </c>
      <c r="G27" s="8" t="s">
        <v>1271</v>
      </c>
      <c r="H27" s="6"/>
      <c r="I27" s="6"/>
      <c r="J27" s="6"/>
      <c r="K27" s="6"/>
    </row>
    <row r="28" ht="71.25" spans="1:11">
      <c r="A28" s="6" t="s">
        <v>1272</v>
      </c>
      <c r="B28" s="7" t="str">
        <f>_xlfn.TEXTJOIN(CHAR(10),,Scenario!A19,Scenario!C19)</f>
        <v>TS010
Validate the working of 'Shopping Cart page' functionality</v>
      </c>
      <c r="C28" s="8" t="s">
        <v>1273</v>
      </c>
      <c r="D28" s="8" t="s">
        <v>1274</v>
      </c>
      <c r="E28" s="8" t="s">
        <v>1275</v>
      </c>
      <c r="F28" s="6" t="s">
        <v>1276</v>
      </c>
      <c r="G28" s="8" t="s">
        <v>1277</v>
      </c>
      <c r="H28" s="6"/>
      <c r="I28" s="6"/>
      <c r="J28" s="6"/>
      <c r="K28" s="6"/>
    </row>
    <row r="29" ht="42.75" spans="1:11">
      <c r="A29" s="6" t="s">
        <v>1278</v>
      </c>
      <c r="B29" s="7" t="str">
        <f>_xlfn.TEXTJOIN(CHAR(10),,Scenario!A19,Scenario!C19)</f>
        <v>TS010
Validate the working of 'Shopping Cart page' functionality</v>
      </c>
      <c r="C29" s="8" t="s">
        <v>1279</v>
      </c>
      <c r="D29" s="8" t="s">
        <v>1167</v>
      </c>
      <c r="E29" s="8" t="s">
        <v>1280</v>
      </c>
      <c r="F29" s="6" t="s">
        <v>173</v>
      </c>
      <c r="G29" s="8" t="s">
        <v>1281</v>
      </c>
      <c r="H29" s="6"/>
      <c r="I29" s="6"/>
      <c r="J29" s="6"/>
      <c r="K29" s="6"/>
    </row>
    <row r="30" ht="57" spans="1:11">
      <c r="A30" s="6" t="s">
        <v>1282</v>
      </c>
      <c r="B30" s="7" t="str">
        <f>_xlfn.TEXTJOIN(CHAR(10),,Scenario!A19,Scenario!C19)</f>
        <v>TS010
Validate the working of 'Shopping Cart page' functionality</v>
      </c>
      <c r="C30" s="8" t="s">
        <v>1283</v>
      </c>
      <c r="D30" s="8" t="s">
        <v>1284</v>
      </c>
      <c r="E30" s="8" t="s">
        <v>1280</v>
      </c>
      <c r="F30" s="6" t="s">
        <v>173</v>
      </c>
      <c r="G30" s="8" t="s">
        <v>1285</v>
      </c>
      <c r="H30" s="6"/>
      <c r="I30" s="6"/>
      <c r="J30" s="6"/>
      <c r="K30" s="6"/>
    </row>
    <row r="31" ht="57" spans="1:11">
      <c r="A31" s="6" t="s">
        <v>1286</v>
      </c>
      <c r="B31" s="7" t="str">
        <f>_xlfn.TEXTJOIN(CHAR(10),,Scenario!A19,Scenario!C19)</f>
        <v>TS010
Validate the working of 'Shopping Cart page' functionality</v>
      </c>
      <c r="C31" s="8" t="s">
        <v>1287</v>
      </c>
      <c r="D31" s="8" t="s">
        <v>1284</v>
      </c>
      <c r="E31" s="8" t="s">
        <v>1288</v>
      </c>
      <c r="F31" s="6" t="s">
        <v>1289</v>
      </c>
      <c r="G31" s="8" t="s">
        <v>1290</v>
      </c>
      <c r="H31" s="6"/>
      <c r="I31" s="6"/>
      <c r="J31" s="6"/>
      <c r="K31" s="6"/>
    </row>
    <row r="32" ht="57" spans="1:11">
      <c r="A32" s="6" t="s">
        <v>1291</v>
      </c>
      <c r="B32" s="7" t="str">
        <f>_xlfn.TEXTJOIN(CHAR(10),,Scenario!A19,Scenario!C19)</f>
        <v>TS010
Validate the working of 'Shopping Cart page' functionality</v>
      </c>
      <c r="C32" s="8" t="s">
        <v>1292</v>
      </c>
      <c r="D32" s="8" t="s">
        <v>1284</v>
      </c>
      <c r="E32" s="8" t="s">
        <v>1288</v>
      </c>
      <c r="F32" s="6" t="s">
        <v>1293</v>
      </c>
      <c r="G32" s="8" t="s">
        <v>1294</v>
      </c>
      <c r="H32" s="6"/>
      <c r="I32" s="6"/>
      <c r="J32" s="6"/>
      <c r="K32" s="6"/>
    </row>
    <row r="33" ht="42.75" spans="1:11">
      <c r="A33" s="6" t="s">
        <v>1295</v>
      </c>
      <c r="B33" s="7" t="str">
        <f>_xlfn.TEXTJOIN(CHAR(10),,Scenario!A19,Scenario!C19)</f>
        <v>TS010
Validate the working of 'Shopping Cart page' functionality</v>
      </c>
      <c r="C33" s="8" t="s">
        <v>1296</v>
      </c>
      <c r="D33" s="8" t="s">
        <v>1167</v>
      </c>
      <c r="E33" s="6" t="s">
        <v>393</v>
      </c>
      <c r="F33" s="6" t="s">
        <v>173</v>
      </c>
      <c r="G33" s="8" t="s">
        <v>1297</v>
      </c>
      <c r="H33" s="6"/>
      <c r="I33" s="6"/>
      <c r="J33" s="6"/>
      <c r="K33" s="6"/>
    </row>
    <row r="34" ht="42.75" spans="1:11">
      <c r="A34" s="6" t="s">
        <v>1298</v>
      </c>
      <c r="B34" s="7" t="str">
        <f>_xlfn.TEXTJOIN(CHAR(10),,Scenario!A19,Scenario!C19)</f>
        <v>TS010
Validate the working of 'Shopping Cart page' functionality</v>
      </c>
      <c r="C34" s="8" t="s">
        <v>1299</v>
      </c>
      <c r="D34" s="8" t="s">
        <v>1167</v>
      </c>
      <c r="E34" s="6" t="s">
        <v>393</v>
      </c>
      <c r="F34" s="6" t="s">
        <v>173</v>
      </c>
      <c r="G34" s="6" t="s">
        <v>1300</v>
      </c>
      <c r="H34" s="6"/>
      <c r="I34" s="6"/>
      <c r="J34" s="6"/>
      <c r="K34" s="6"/>
    </row>
    <row r="35" ht="42.75" spans="1:11">
      <c r="A35" s="6" t="s">
        <v>1301</v>
      </c>
      <c r="B35" s="7" t="str">
        <f>_xlfn.TEXTJOIN(CHAR(10),,Scenario!A19,Scenario!C19)</f>
        <v>TS010
Validate the working of 'Shopping Cart page' functionality</v>
      </c>
      <c r="C35" s="8" t="s">
        <v>1302</v>
      </c>
      <c r="D35" s="8" t="s">
        <v>1167</v>
      </c>
      <c r="E35" s="8" t="s">
        <v>1303</v>
      </c>
      <c r="F35" s="6" t="s">
        <v>173</v>
      </c>
      <c r="G35" s="6" t="s">
        <v>1304</v>
      </c>
      <c r="H35" s="6"/>
      <c r="I35" s="6"/>
      <c r="J35" s="6"/>
      <c r="K35" s="6"/>
    </row>
    <row r="36" ht="42.75" spans="1:11">
      <c r="A36" s="6" t="s">
        <v>1305</v>
      </c>
      <c r="B36" s="7" t="str">
        <f>_xlfn.TEXTJOIN(CHAR(10),,Scenario!A19,Scenario!C19)</f>
        <v>TS010
Validate the working of 'Shopping Cart page' functionality</v>
      </c>
      <c r="C36" s="8" t="s">
        <v>1306</v>
      </c>
      <c r="D36" s="8" t="s">
        <v>1167</v>
      </c>
      <c r="E36" s="8" t="s">
        <v>1307</v>
      </c>
      <c r="F36" s="6" t="s">
        <v>173</v>
      </c>
      <c r="G36" s="6" t="s">
        <v>1308</v>
      </c>
      <c r="H36" s="6"/>
      <c r="I36" s="6"/>
      <c r="J36" s="6"/>
      <c r="K36" s="6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3"/>
  <sheetViews>
    <sheetView zoomScale="85" zoomScaleNormal="85" workbookViewId="0">
      <selection activeCell="K17" sqref="K17"/>
    </sheetView>
  </sheetViews>
  <sheetFormatPr defaultColWidth="9" defaultRowHeight="14.25"/>
  <cols>
    <col min="1" max="1" width="13.125" customWidth="1"/>
    <col min="2" max="2" width="56.625" style="12" customWidth="1"/>
    <col min="3" max="3" width="48.625" customWidth="1"/>
    <col min="4" max="4" width="36.25" style="2" customWidth="1"/>
    <col min="5" max="5" width="36" customWidth="1"/>
    <col min="6" max="6" width="36.875" customWidth="1"/>
    <col min="7" max="7" width="48.5" customWidth="1"/>
    <col min="8" max="8" width="74.5" customWidth="1"/>
    <col min="9" max="9" width="7.75" customWidth="1"/>
    <col min="10" max="10" width="7.125" customWidth="1"/>
    <col min="11" max="11" width="10.875" customWidth="1"/>
  </cols>
  <sheetData>
    <row r="1" ht="15" spans="1:11">
      <c r="A1" s="4" t="s">
        <v>160</v>
      </c>
      <c r="B1" s="5" t="s">
        <v>161</v>
      </c>
      <c r="C1" s="5" t="s">
        <v>162</v>
      </c>
      <c r="D1" s="5" t="s">
        <v>163</v>
      </c>
      <c r="E1" s="5" t="s">
        <v>164</v>
      </c>
      <c r="F1" s="4" t="s">
        <v>165</v>
      </c>
      <c r="G1" s="5" t="s">
        <v>166</v>
      </c>
      <c r="H1" s="4" t="s">
        <v>24</v>
      </c>
      <c r="I1" s="4" t="s">
        <v>26</v>
      </c>
      <c r="J1" s="4" t="s">
        <v>167</v>
      </c>
      <c r="K1" s="4" t="s">
        <v>168</v>
      </c>
    </row>
    <row r="2" ht="42.75" spans="1:11">
      <c r="A2" s="6" t="s">
        <v>1309</v>
      </c>
      <c r="B2" s="7" t="str">
        <f>_xlfn.TEXTJOIN(CHAR(10),,Scenario!$A$17,Scenario!$C$17)</f>
        <v>TS008
Validate the working of 'Add to cart' functionality</v>
      </c>
      <c r="C2" s="6" t="s">
        <v>1310</v>
      </c>
      <c r="D2" s="8" t="s">
        <v>1311</v>
      </c>
      <c r="E2" s="8" t="s">
        <v>1312</v>
      </c>
      <c r="F2" s="6" t="s">
        <v>1313</v>
      </c>
      <c r="G2" s="6"/>
      <c r="H2" s="6"/>
      <c r="I2" s="6"/>
      <c r="J2" s="6"/>
      <c r="K2" s="6"/>
    </row>
    <row r="3" ht="71.25" spans="1:11">
      <c r="A3" s="6" t="s">
        <v>1314</v>
      </c>
      <c r="B3" s="7" t="str">
        <f>_xlfn.TEXTJOIN(CHAR(10),,Scenario!$A$17,Scenario!$C$17)</f>
        <v>TS008
Validate the working of 'Add to cart' functionality</v>
      </c>
      <c r="C3" s="6" t="s">
        <v>1315</v>
      </c>
      <c r="D3" s="8" t="s">
        <v>1311</v>
      </c>
      <c r="E3" s="8" t="s">
        <v>1316</v>
      </c>
      <c r="F3" s="8" t="s">
        <v>1317</v>
      </c>
      <c r="G3" s="6"/>
      <c r="H3" s="6"/>
      <c r="I3" s="6"/>
      <c r="J3" s="6"/>
      <c r="K3" s="6"/>
    </row>
    <row r="4" ht="99.75" spans="1:11">
      <c r="A4" s="6" t="s">
        <v>1318</v>
      </c>
      <c r="B4" s="7" t="str">
        <f>_xlfn.TEXTJOIN(CHAR(10),,Scenario!$A$17,Scenario!$C$17)</f>
        <v>TS008
Validate the working of 'Add to cart' functionality</v>
      </c>
      <c r="C4" s="6" t="s">
        <v>1319</v>
      </c>
      <c r="D4" s="8" t="s">
        <v>1311</v>
      </c>
      <c r="E4" s="8" t="s">
        <v>1320</v>
      </c>
      <c r="F4" s="8" t="s">
        <v>1321</v>
      </c>
      <c r="G4" s="6"/>
      <c r="H4" s="6"/>
      <c r="I4" s="6"/>
      <c r="J4" s="6"/>
      <c r="K4" s="6"/>
    </row>
    <row r="5" ht="42.75" spans="1:11">
      <c r="A5" s="6" t="s">
        <v>1322</v>
      </c>
      <c r="B5" s="7" t="str">
        <f>_xlfn.TEXTJOIN(CHAR(10),,Scenario!$A$17,Scenario!$C$17)</f>
        <v>TS008
Validate the working of 'Add to cart' functionality</v>
      </c>
      <c r="C5" s="6" t="s">
        <v>1323</v>
      </c>
      <c r="D5" s="8" t="s">
        <v>1324</v>
      </c>
      <c r="E5" s="8" t="s">
        <v>1325</v>
      </c>
      <c r="F5" s="6" t="s">
        <v>1326</v>
      </c>
      <c r="G5" s="6"/>
      <c r="H5" s="6"/>
      <c r="I5" s="6"/>
      <c r="J5" s="6"/>
      <c r="K5" s="6"/>
    </row>
    <row r="6" ht="42.75" spans="1:11">
      <c r="A6" s="6" t="s">
        <v>1327</v>
      </c>
      <c r="B6" s="7" t="str">
        <f>_xlfn.TEXTJOIN(CHAR(10),,Scenario!$A$17,Scenario!$C$17)</f>
        <v>TS008
Validate the working of 'Add to cart' functionality</v>
      </c>
      <c r="C6" s="6" t="s">
        <v>1328</v>
      </c>
      <c r="D6" s="8" t="s">
        <v>1329</v>
      </c>
      <c r="E6" s="8" t="s">
        <v>1330</v>
      </c>
      <c r="F6" s="6" t="s">
        <v>1331</v>
      </c>
      <c r="G6" s="6"/>
      <c r="H6" s="6"/>
      <c r="I6" s="6"/>
      <c r="J6" s="6"/>
      <c r="K6" s="6"/>
    </row>
    <row r="7" ht="42.75" spans="1:11">
      <c r="A7" s="6" t="s">
        <v>1332</v>
      </c>
      <c r="B7" s="7" t="str">
        <f>_xlfn.TEXTJOIN(CHAR(10),,Scenario!$A$17,Scenario!$C$17)</f>
        <v>TS008
Validate the working of 'Add to cart' functionality</v>
      </c>
      <c r="C7" s="6" t="s">
        <v>1333</v>
      </c>
      <c r="D7" s="8" t="s">
        <v>1311</v>
      </c>
      <c r="E7" s="8" t="s">
        <v>1334</v>
      </c>
      <c r="F7" s="8" t="s">
        <v>1335</v>
      </c>
      <c r="G7" s="6"/>
      <c r="H7" s="6"/>
      <c r="I7" s="6"/>
      <c r="J7" s="6"/>
      <c r="K7" s="6"/>
    </row>
    <row r="8" ht="57" spans="1:11">
      <c r="A8" s="6" t="s">
        <v>1336</v>
      </c>
      <c r="B8" s="7" t="str">
        <f>_xlfn.TEXTJOIN(CHAR(10),,Scenario!$A$17,Scenario!$C$17)</f>
        <v>TS008
Validate the working of 'Add to cart' functionality</v>
      </c>
      <c r="C8" s="6" t="s">
        <v>1337</v>
      </c>
      <c r="D8" s="8" t="s">
        <v>1311</v>
      </c>
      <c r="E8" s="8" t="s">
        <v>1338</v>
      </c>
      <c r="F8" s="8" t="s">
        <v>1339</v>
      </c>
      <c r="G8" s="6"/>
      <c r="H8" s="6"/>
      <c r="I8" s="6"/>
      <c r="J8" s="6"/>
      <c r="K8" s="6"/>
    </row>
    <row r="9" ht="71.25" spans="1:11">
      <c r="A9" s="6" t="s">
        <v>1340</v>
      </c>
      <c r="B9" s="7" t="str">
        <f>_xlfn.TEXTJOIN(CHAR(10),,Scenario!$A$17,Scenario!$C$17)</f>
        <v>TS008
Validate the working of 'Add to cart' functionality</v>
      </c>
      <c r="C9" s="6" t="s">
        <v>1341</v>
      </c>
      <c r="D9" s="8" t="s">
        <v>1311</v>
      </c>
      <c r="E9" s="8" t="s">
        <v>1342</v>
      </c>
      <c r="F9" s="8" t="s">
        <v>1343</v>
      </c>
      <c r="G9" s="6"/>
      <c r="H9" s="6"/>
      <c r="I9" s="6"/>
      <c r="J9" s="6"/>
      <c r="K9" s="6"/>
    </row>
    <row r="10" ht="57" spans="1:11">
      <c r="A10" s="6" t="s">
        <v>1344</v>
      </c>
      <c r="B10" s="7" t="str">
        <f>_xlfn.TEXTJOIN(CHAR(10),,Scenario!$A$17,Scenario!$C$17)</f>
        <v>TS008
Validate the working of 'Add to cart' functionality</v>
      </c>
      <c r="C10" s="6" t="s">
        <v>1345</v>
      </c>
      <c r="D10" s="8" t="s">
        <v>1311</v>
      </c>
      <c r="E10" s="8" t="s">
        <v>1346</v>
      </c>
      <c r="F10" s="6" t="s">
        <v>1347</v>
      </c>
      <c r="G10" s="6"/>
      <c r="H10" s="6"/>
      <c r="I10" s="6"/>
      <c r="J10" s="6"/>
      <c r="K10" s="6"/>
    </row>
    <row r="11" ht="42.75" spans="1:11">
      <c r="A11" s="6" t="s">
        <v>1348</v>
      </c>
      <c r="B11" s="7" t="str">
        <f>_xlfn.TEXTJOIN(CHAR(10),,Scenario!$A$17,Scenario!$C$17)</f>
        <v>TS008
Validate the working of 'Add to cart' functionality</v>
      </c>
      <c r="C11" s="6" t="s">
        <v>1349</v>
      </c>
      <c r="D11" s="8" t="s">
        <v>1311</v>
      </c>
      <c r="E11" s="8" t="s">
        <v>1350</v>
      </c>
      <c r="F11" s="6" t="s">
        <v>1351</v>
      </c>
      <c r="G11" s="8" t="s">
        <v>1352</v>
      </c>
      <c r="H11" s="6"/>
      <c r="I11" s="6"/>
      <c r="J11" s="6"/>
      <c r="K11" s="6"/>
    </row>
    <row r="12" ht="42.75" spans="1:11">
      <c r="A12" s="6" t="s">
        <v>1353</v>
      </c>
      <c r="B12" s="7" t="str">
        <f>_xlfn.TEXTJOIN(CHAR(10),,Scenario!$A$17,Scenario!$C$17)</f>
        <v>TS008
Validate the working of 'Add to cart' functionality</v>
      </c>
      <c r="C12" s="6" t="s">
        <v>1354</v>
      </c>
      <c r="D12" s="8" t="s">
        <v>1311</v>
      </c>
      <c r="E12" s="8" t="s">
        <v>1355</v>
      </c>
      <c r="F12" s="6" t="s">
        <v>1313</v>
      </c>
      <c r="G12" s="6" t="s">
        <v>1356</v>
      </c>
      <c r="H12" s="6" t="s">
        <v>1357</v>
      </c>
      <c r="I12" s="6"/>
      <c r="J12" s="6" t="s">
        <v>84</v>
      </c>
      <c r="K12" s="6"/>
    </row>
    <row r="13" spans="1:11">
      <c r="B13" s="1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6"/>
  <sheetViews>
    <sheetView zoomScale="85" zoomScaleNormal="85" workbookViewId="0">
      <selection activeCell="K17" sqref="K17"/>
    </sheetView>
  </sheetViews>
  <sheetFormatPr defaultColWidth="9" defaultRowHeight="14.25"/>
  <cols>
    <col min="1" max="1" width="13.125" customWidth="1"/>
    <col min="2" max="2" width="58.5" style="1" customWidth="1"/>
    <col min="3" max="3" width="48.625" customWidth="1"/>
    <col min="4" max="4" width="36.25" style="2" customWidth="1"/>
    <col min="5" max="5" width="33" customWidth="1"/>
    <col min="6" max="6" width="13.25" customWidth="1"/>
    <col min="7" max="7" width="54.875" customWidth="1"/>
    <col min="8" max="8" width="62.625" customWidth="1"/>
    <col min="9" max="9" width="7.75" customWidth="1"/>
    <col min="10" max="10" width="7.125" customWidth="1"/>
    <col min="11" max="11" width="10.875" customWidth="1"/>
  </cols>
  <sheetData>
    <row r="1" ht="15" spans="1:11">
      <c r="A1" s="4" t="s">
        <v>160</v>
      </c>
      <c r="B1" s="5" t="s">
        <v>161</v>
      </c>
      <c r="C1" s="5" t="s">
        <v>162</v>
      </c>
      <c r="D1" s="5" t="s">
        <v>163</v>
      </c>
      <c r="E1" s="5" t="s">
        <v>164</v>
      </c>
      <c r="F1" s="4" t="s">
        <v>165</v>
      </c>
      <c r="G1" s="5" t="s">
        <v>166</v>
      </c>
      <c r="H1" s="4" t="s">
        <v>24</v>
      </c>
      <c r="I1" s="4" t="s">
        <v>26</v>
      </c>
      <c r="J1" s="4" t="s">
        <v>167</v>
      </c>
      <c r="K1" s="4" t="s">
        <v>168</v>
      </c>
    </row>
    <row r="2" ht="42.75" spans="1:11">
      <c r="A2" s="6" t="s">
        <v>1358</v>
      </c>
      <c r="B2" s="7" t="str">
        <f>_xlfn.TEXTJOIN(CHAR(10),,Scenario!$A$18,Scenario!$C$18)</f>
        <v>TS009
Validate the working of 'Wish List' option</v>
      </c>
      <c r="C2" s="6" t="s">
        <v>1359</v>
      </c>
      <c r="D2" s="8" t="s">
        <v>1360</v>
      </c>
      <c r="E2" s="8" t="s">
        <v>1361</v>
      </c>
      <c r="F2" s="6" t="s">
        <v>1362</v>
      </c>
      <c r="G2" s="6" t="s">
        <v>1363</v>
      </c>
      <c r="H2" s="6" t="s">
        <v>1363</v>
      </c>
      <c r="I2" s="6"/>
      <c r="J2" s="6"/>
      <c r="K2" s="6"/>
    </row>
    <row r="3" ht="42.75" spans="1:11">
      <c r="A3" s="6" t="s">
        <v>1364</v>
      </c>
      <c r="B3" s="7" t="str">
        <f>_xlfn.TEXTJOIN(CHAR(10),,Scenario!$A$18,Scenario!$C$18)</f>
        <v>TS009
Validate the working of 'Wish List' option</v>
      </c>
      <c r="C3" s="6" t="s">
        <v>1365</v>
      </c>
      <c r="D3" s="8" t="s">
        <v>1366</v>
      </c>
      <c r="E3" s="8" t="s">
        <v>1361</v>
      </c>
      <c r="F3" s="6" t="s">
        <v>1362</v>
      </c>
      <c r="G3" s="8" t="s">
        <v>1367</v>
      </c>
      <c r="H3" s="8" t="s">
        <v>1367</v>
      </c>
      <c r="I3" s="6"/>
      <c r="J3" s="6"/>
      <c r="K3" s="6"/>
    </row>
    <row r="4" ht="57" spans="1:11">
      <c r="A4" s="6" t="s">
        <v>1368</v>
      </c>
      <c r="B4" s="7" t="str">
        <f>_xlfn.TEXTJOIN(CHAR(10),,Scenario!$A$18,Scenario!$C$18)</f>
        <v>TS009
Validate the working of 'Wish List' option</v>
      </c>
      <c r="C4" s="6" t="s">
        <v>1369</v>
      </c>
      <c r="D4" s="8" t="s">
        <v>1370</v>
      </c>
      <c r="E4" s="8" t="s">
        <v>1371</v>
      </c>
      <c r="F4" s="6" t="s">
        <v>1362</v>
      </c>
      <c r="G4" s="6" t="s">
        <v>1372</v>
      </c>
      <c r="H4" s="6" t="s">
        <v>1363</v>
      </c>
      <c r="I4" s="6"/>
      <c r="J4" s="6" t="s">
        <v>84</v>
      </c>
      <c r="K4" s="6"/>
    </row>
    <row r="5" ht="28.5" spans="1:11">
      <c r="A5" s="6" t="s">
        <v>1373</v>
      </c>
      <c r="B5" s="7" t="str">
        <f>_xlfn.TEXTJOIN(CHAR(10),,Scenario!$A$18,Scenario!$C$18)</f>
        <v>TS009
Validate the working of 'Wish List' option</v>
      </c>
      <c r="C5" s="6" t="s">
        <v>1374</v>
      </c>
      <c r="D5" s="8" t="s">
        <v>1360</v>
      </c>
      <c r="E5" s="8" t="s">
        <v>1375</v>
      </c>
      <c r="F5" s="6" t="s">
        <v>173</v>
      </c>
      <c r="G5" s="6" t="s">
        <v>1376</v>
      </c>
      <c r="H5" s="6" t="s">
        <v>1376</v>
      </c>
      <c r="I5" s="6"/>
      <c r="J5" s="6"/>
      <c r="K5" s="6"/>
    </row>
    <row r="6" ht="28.5" spans="1:11">
      <c r="A6" s="6" t="s">
        <v>1377</v>
      </c>
      <c r="B6" s="7" t="str">
        <f>_xlfn.TEXTJOIN(CHAR(10),,Scenario!$A$18,Scenario!$C$18)</f>
        <v>TS009
Validate the working of 'Wish List' option</v>
      </c>
      <c r="C6" s="6" t="s">
        <v>1378</v>
      </c>
      <c r="D6" s="8" t="s">
        <v>1360</v>
      </c>
      <c r="E6" s="8" t="s">
        <v>1375</v>
      </c>
      <c r="F6" s="6" t="s">
        <v>173</v>
      </c>
      <c r="G6" s="6" t="s">
        <v>1379</v>
      </c>
      <c r="H6" s="6" t="s">
        <v>1380</v>
      </c>
      <c r="I6" s="6"/>
      <c r="J6" s="6"/>
      <c r="K6" s="6"/>
    </row>
    <row r="7" ht="57" spans="1:11">
      <c r="A7" s="6" t="s">
        <v>1381</v>
      </c>
      <c r="B7" s="7" t="str">
        <f>_xlfn.TEXTJOIN(CHAR(10),,Scenario!$A$18,Scenario!$C$18)</f>
        <v>TS009
Validate the working of 'Wish List' option</v>
      </c>
      <c r="C7" s="6" t="s">
        <v>1382</v>
      </c>
      <c r="D7" s="8" t="s">
        <v>1370</v>
      </c>
      <c r="E7" s="8" t="s">
        <v>1375</v>
      </c>
      <c r="F7" s="6" t="s">
        <v>173</v>
      </c>
      <c r="G7" s="8" t="s">
        <v>1383</v>
      </c>
      <c r="H7" s="6" t="s">
        <v>1384</v>
      </c>
      <c r="I7" s="6"/>
      <c r="J7" s="6"/>
      <c r="K7" s="6"/>
    </row>
    <row r="8" ht="42.75" spans="1:11">
      <c r="A8" s="6" t="s">
        <v>1385</v>
      </c>
      <c r="B8" s="7" t="str">
        <f>_xlfn.TEXTJOIN(CHAR(10),,Scenario!$A$18,Scenario!$C$18)</f>
        <v>TS009
Validate the working of 'Wish List' option</v>
      </c>
      <c r="C8" s="6" t="s">
        <v>1386</v>
      </c>
      <c r="D8" s="8" t="s">
        <v>1387</v>
      </c>
      <c r="E8" s="8" t="s">
        <v>1388</v>
      </c>
      <c r="F8" s="6" t="s">
        <v>1362</v>
      </c>
      <c r="G8" s="6" t="s">
        <v>1389</v>
      </c>
      <c r="H8" s="6" t="s">
        <v>1390</v>
      </c>
      <c r="I8" s="6"/>
      <c r="J8" s="6"/>
      <c r="K8" s="6"/>
    </row>
    <row r="9" ht="28.5" spans="1:11">
      <c r="A9" s="6" t="s">
        <v>1391</v>
      </c>
      <c r="B9" s="7" t="str">
        <f>_xlfn.TEXTJOIN(CHAR(10),,Scenario!$A$18,Scenario!$C$18)</f>
        <v>TS009
Validate the working of 'Wish List' option</v>
      </c>
      <c r="C9" s="6" t="s">
        <v>1392</v>
      </c>
      <c r="D9" s="8" t="s">
        <v>1387</v>
      </c>
      <c r="E9" s="8" t="s">
        <v>1393</v>
      </c>
      <c r="F9" s="6" t="s">
        <v>173</v>
      </c>
      <c r="G9" s="6" t="s">
        <v>1394</v>
      </c>
      <c r="H9" s="6" t="s">
        <v>1395</v>
      </c>
      <c r="I9" s="6"/>
      <c r="J9" s="6"/>
      <c r="K9" s="6"/>
    </row>
    <row r="10" ht="42.75" spans="1:11">
      <c r="A10" s="6" t="s">
        <v>1396</v>
      </c>
      <c r="B10" s="7" t="str">
        <f>_xlfn.TEXTJOIN(CHAR(10),,Scenario!$A$18,Scenario!$C$18)</f>
        <v>TS009
Validate the working of 'Wish List' option</v>
      </c>
      <c r="C10" s="6" t="s">
        <v>1397</v>
      </c>
      <c r="D10" s="8" t="s">
        <v>1387</v>
      </c>
      <c r="E10" s="8" t="s">
        <v>1398</v>
      </c>
      <c r="F10" s="6" t="s">
        <v>1362</v>
      </c>
      <c r="G10" s="6" t="s">
        <v>1399</v>
      </c>
      <c r="H10" s="6"/>
      <c r="I10" s="6"/>
      <c r="J10" s="6"/>
      <c r="K10" s="6"/>
    </row>
    <row r="11" ht="85.5" spans="1:11">
      <c r="A11" s="6" t="s">
        <v>1400</v>
      </c>
      <c r="B11" s="7" t="str">
        <f>_xlfn.TEXTJOIN(CHAR(10),,Scenario!$A$18,Scenario!$C$18)</f>
        <v>TS009
Validate the working of 'Wish List' option</v>
      </c>
      <c r="C11" s="6" t="s">
        <v>1401</v>
      </c>
      <c r="D11" s="8" t="s">
        <v>1387</v>
      </c>
      <c r="E11" s="8" t="s">
        <v>1398</v>
      </c>
      <c r="F11" s="6" t="s">
        <v>1362</v>
      </c>
      <c r="G11" s="6" t="s">
        <v>1402</v>
      </c>
      <c r="H11" s="8" t="s">
        <v>1403</v>
      </c>
      <c r="I11" s="6"/>
      <c r="J11" s="6" t="s">
        <v>84</v>
      </c>
      <c r="K11" s="6"/>
    </row>
    <row r="12" spans="1:11">
      <c r="B12"/>
      <c r="D12"/>
    </row>
    <row r="13" spans="1:11">
      <c r="B13"/>
      <c r="D13"/>
    </row>
    <row r="14" spans="1:11">
      <c r="B14"/>
      <c r="D14"/>
    </row>
    <row r="15" spans="1:11">
      <c r="B15"/>
      <c r="D15"/>
    </row>
    <row r="16" spans="1:11">
      <c r="B16"/>
      <c r="D16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3"/>
  <sheetViews>
    <sheetView workbookViewId="0">
      <selection activeCell="K17" sqref="K17"/>
    </sheetView>
  </sheetViews>
  <sheetFormatPr defaultColWidth="9" defaultRowHeight="14.25" outlineLevelRow="2"/>
  <cols>
    <col min="1" max="1" width="13.125" customWidth="1"/>
    <col min="2" max="2" width="31.875" style="12" customWidth="1"/>
    <col min="3" max="3" width="23.125" style="13" customWidth="1"/>
    <col min="4" max="4" width="30.875" style="13" customWidth="1"/>
    <col min="5" max="5" width="34.75" style="13" customWidth="1"/>
    <col min="6" max="6" width="12.625" customWidth="1"/>
    <col min="7" max="7" width="64.875" customWidth="1"/>
    <col min="8" max="8" width="13.375" customWidth="1"/>
    <col min="9" max="9" width="7.75" customWidth="1"/>
    <col min="10" max="10" width="7.125" customWidth="1"/>
    <col min="11" max="11" width="10.875" customWidth="1"/>
  </cols>
  <sheetData>
    <row r="1" s="12" customFormat="1" ht="15" spans="1:11">
      <c r="A1" s="4" t="s">
        <v>160</v>
      </c>
      <c r="B1" s="4" t="s">
        <v>161</v>
      </c>
      <c r="C1" s="4" t="s">
        <v>162</v>
      </c>
      <c r="D1" s="4" t="s">
        <v>163</v>
      </c>
      <c r="E1" s="4" t="s">
        <v>164</v>
      </c>
      <c r="F1" s="4" t="s">
        <v>165</v>
      </c>
      <c r="G1" s="4" t="s">
        <v>166</v>
      </c>
      <c r="H1" s="4" t="s">
        <v>24</v>
      </c>
      <c r="I1" s="4" t="s">
        <v>26</v>
      </c>
      <c r="J1" s="4" t="s">
        <v>167</v>
      </c>
      <c r="K1" s="4" t="s">
        <v>168</v>
      </c>
    </row>
    <row r="2" ht="42.75" spans="1:11">
      <c r="A2" s="6" t="s">
        <v>1404</v>
      </c>
      <c r="B2" s="7" t="str">
        <f>_xlfn.TEXTJOIN(CHAR(10),,Scenario!A42,Scenario!C42)</f>
        <v>TS033
Validate the Application functionality for different currency</v>
      </c>
      <c r="C2" s="14" t="s">
        <v>1405</v>
      </c>
      <c r="D2" s="14" t="s">
        <v>1406</v>
      </c>
      <c r="E2" s="15" t="s">
        <v>1407</v>
      </c>
      <c r="F2" s="16" t="s">
        <v>1408</v>
      </c>
      <c r="G2" s="6" t="s">
        <v>1409</v>
      </c>
      <c r="H2" s="6"/>
      <c r="I2" s="6"/>
      <c r="J2" s="6"/>
      <c r="K2" s="6"/>
    </row>
    <row r="3" ht="42.75" spans="1:11">
      <c r="A3" s="6" t="s">
        <v>1410</v>
      </c>
      <c r="B3" s="7" t="str">
        <f>_xlfn.TEXTJOIN(CHAR(10),,Scenario!A42,Scenario!C42)</f>
        <v>TS033
Validate the Application functionality for different currency</v>
      </c>
      <c r="C3" s="14" t="s">
        <v>1411</v>
      </c>
      <c r="D3" s="14" t="s">
        <v>1406</v>
      </c>
      <c r="E3" s="15" t="s">
        <v>1412</v>
      </c>
      <c r="F3" s="17" t="s">
        <v>813</v>
      </c>
      <c r="G3" s="6" t="s">
        <v>1413</v>
      </c>
      <c r="H3" s="6"/>
      <c r="I3" s="6"/>
      <c r="J3" s="6"/>
      <c r="K3" s="6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68"/>
  <sheetViews>
    <sheetView zoomScale="85" zoomScaleNormal="85" topLeftCell="A32" workbookViewId="0">
      <selection activeCell="K17" sqref="K17"/>
    </sheetView>
  </sheetViews>
  <sheetFormatPr defaultColWidth="9" defaultRowHeight="14.25"/>
  <cols>
    <col min="1" max="1" width="13.125" customWidth="1"/>
    <col min="2" max="2" width="31.875" style="1" customWidth="1"/>
    <col min="3" max="3" width="52.375" customWidth="1"/>
    <col min="4" max="4" width="40.625" style="2" customWidth="1"/>
    <col min="5" max="5" width="34.75" customWidth="1"/>
    <col min="6" max="6" width="47" style="3" customWidth="1"/>
    <col min="7" max="7" width="64.875" style="2" customWidth="1"/>
    <col min="8" max="8" width="38.9666666666667" customWidth="1"/>
    <col min="9" max="9" width="7.75" customWidth="1"/>
    <col min="10" max="10" width="7.125" customWidth="1"/>
    <col min="11" max="11" width="10.875" customWidth="1"/>
  </cols>
  <sheetData>
    <row r="1" ht="15" spans="1:11">
      <c r="A1" s="4" t="s">
        <v>160</v>
      </c>
      <c r="B1" s="5" t="s">
        <v>161</v>
      </c>
      <c r="C1" s="4" t="s">
        <v>162</v>
      </c>
      <c r="D1" s="5" t="s">
        <v>163</v>
      </c>
      <c r="E1" s="4" t="s">
        <v>164</v>
      </c>
      <c r="F1" s="4" t="s">
        <v>165</v>
      </c>
      <c r="G1" s="5" t="s">
        <v>166</v>
      </c>
      <c r="H1" s="4" t="s">
        <v>24</v>
      </c>
      <c r="I1" s="4" t="s">
        <v>26</v>
      </c>
      <c r="J1" s="4" t="s">
        <v>167</v>
      </c>
      <c r="K1" s="4" t="s">
        <v>168</v>
      </c>
    </row>
    <row r="2" ht="42.75" spans="1:11">
      <c r="A2" s="6" t="s">
        <v>1414</v>
      </c>
      <c r="B2" s="7" t="str">
        <f>_xlfn.TEXTJOIN(CHAR(10),,Scenario!$A$21,Scenario!$C$21)</f>
        <v>TS012
Validate the working of 'Checkout' functionality</v>
      </c>
      <c r="C2" s="6" t="s">
        <v>1415</v>
      </c>
      <c r="D2" s="8" t="s">
        <v>1416</v>
      </c>
      <c r="E2" s="8" t="s">
        <v>1417</v>
      </c>
      <c r="F2" s="9" t="s">
        <v>173</v>
      </c>
      <c r="G2" s="8"/>
      <c r="H2" s="6"/>
      <c r="I2" s="6"/>
      <c r="J2" s="6"/>
      <c r="K2" s="6"/>
    </row>
    <row r="3" ht="42.75" spans="1:11">
      <c r="A3" s="6" t="s">
        <v>1418</v>
      </c>
      <c r="B3" s="7" t="str">
        <f>_xlfn.TEXTJOIN(CHAR(10),,Scenario!$A$21,Scenario!$C$21)</f>
        <v>TS012
Validate the working of 'Checkout' functionality</v>
      </c>
      <c r="C3" s="6" t="s">
        <v>1419</v>
      </c>
      <c r="D3" s="8" t="s">
        <v>1420</v>
      </c>
      <c r="E3" s="6" t="s">
        <v>172</v>
      </c>
      <c r="F3" s="9" t="s">
        <v>173</v>
      </c>
      <c r="G3" s="8" t="s">
        <v>1421</v>
      </c>
      <c r="H3" s="6"/>
      <c r="I3" s="6"/>
      <c r="J3" s="6"/>
      <c r="K3" s="6"/>
    </row>
    <row r="4" ht="42.75" spans="1:11">
      <c r="A4" s="6" t="s">
        <v>1422</v>
      </c>
      <c r="B4" s="7" t="str">
        <f>_xlfn.TEXTJOIN(CHAR(10),,Scenario!$A$21,Scenario!$C$21)</f>
        <v>TS012
Validate the working of 'Checkout' functionality</v>
      </c>
      <c r="C4" s="6" t="s">
        <v>1423</v>
      </c>
      <c r="D4" s="8" t="s">
        <v>1424</v>
      </c>
      <c r="E4" s="8" t="s">
        <v>1425</v>
      </c>
      <c r="F4" s="9" t="s">
        <v>173</v>
      </c>
      <c r="G4" s="8" t="s">
        <v>1426</v>
      </c>
      <c r="H4" s="6"/>
      <c r="I4" s="6"/>
      <c r="J4" s="6"/>
      <c r="K4" s="6"/>
    </row>
    <row r="5" ht="57" spans="1:11">
      <c r="A5" s="6" t="s">
        <v>1427</v>
      </c>
      <c r="B5" s="7" t="str">
        <f>_xlfn.TEXTJOIN(CHAR(10),,Scenario!$A$21,Scenario!$C$21)</f>
        <v>TS012
Validate the working of 'Checkout' functionality</v>
      </c>
      <c r="C5" s="6" t="s">
        <v>1428</v>
      </c>
      <c r="D5" s="8" t="s">
        <v>1420</v>
      </c>
      <c r="E5" s="8" t="s">
        <v>1429</v>
      </c>
      <c r="F5" s="10" t="s">
        <v>1430</v>
      </c>
      <c r="G5" s="8" t="s">
        <v>1431</v>
      </c>
      <c r="H5" s="6"/>
      <c r="I5" s="6"/>
      <c r="J5" s="6"/>
      <c r="K5" s="6"/>
    </row>
    <row r="6" ht="57" spans="1:11">
      <c r="A6" s="6" t="s">
        <v>1432</v>
      </c>
      <c r="B6" s="7" t="str">
        <f>_xlfn.TEXTJOIN(CHAR(10),,Scenario!$A$21,Scenario!$C$21)</f>
        <v>TS012
Validate the working of 'Checkout' functionality</v>
      </c>
      <c r="C6" s="6" t="s">
        <v>1433</v>
      </c>
      <c r="D6" s="8" t="s">
        <v>1420</v>
      </c>
      <c r="E6" s="8" t="s">
        <v>1429</v>
      </c>
      <c r="F6" s="9" t="s">
        <v>1434</v>
      </c>
      <c r="G6" s="8" t="s">
        <v>1435</v>
      </c>
      <c r="H6" s="6"/>
      <c r="I6" s="6"/>
      <c r="J6" s="6"/>
      <c r="K6" s="6"/>
    </row>
    <row r="7" ht="57" spans="1:11">
      <c r="A7" s="6" t="s">
        <v>1436</v>
      </c>
      <c r="B7" s="7" t="str">
        <f>_xlfn.TEXTJOIN(CHAR(10),,Scenario!$A$21,Scenario!$C$21)</f>
        <v>TS012
Validate the working of 'Checkout' functionality</v>
      </c>
      <c r="C7" s="6" t="s">
        <v>1437</v>
      </c>
      <c r="D7" s="8" t="s">
        <v>1420</v>
      </c>
      <c r="E7" s="8" t="s">
        <v>1438</v>
      </c>
      <c r="F7" s="9" t="s">
        <v>173</v>
      </c>
      <c r="G7" s="8" t="s">
        <v>1439</v>
      </c>
      <c r="H7" s="6"/>
      <c r="I7" s="6"/>
      <c r="J7" s="6"/>
      <c r="K7" s="6"/>
    </row>
    <row r="8" ht="57" spans="1:11">
      <c r="A8" s="6" t="s">
        <v>1440</v>
      </c>
      <c r="B8" s="7" t="str">
        <f>_xlfn.TEXTJOIN(CHAR(10),,Scenario!$A$21,Scenario!$C$21)</f>
        <v>TS012
Validate the working of 'Checkout' functionality</v>
      </c>
      <c r="C8" s="6" t="s">
        <v>1441</v>
      </c>
      <c r="D8" s="8" t="s">
        <v>1420</v>
      </c>
      <c r="E8" s="8" t="s">
        <v>1442</v>
      </c>
      <c r="F8" s="9" t="s">
        <v>1443</v>
      </c>
      <c r="G8" s="8" t="s">
        <v>1444</v>
      </c>
      <c r="H8" s="6"/>
      <c r="I8" s="6"/>
      <c r="J8" s="6"/>
      <c r="K8" s="6"/>
    </row>
    <row r="9" ht="42.75" spans="1:11">
      <c r="A9" s="6" t="s">
        <v>1445</v>
      </c>
      <c r="B9" s="7" t="str">
        <f>_xlfn.TEXTJOIN(CHAR(10),,Scenario!$A$21,Scenario!$C$21)</f>
        <v>TS012
Validate the working of 'Checkout' functionality</v>
      </c>
      <c r="C9" s="6" t="s">
        <v>1446</v>
      </c>
      <c r="D9" s="8" t="s">
        <v>1420</v>
      </c>
      <c r="E9" s="8" t="s">
        <v>1447</v>
      </c>
      <c r="F9" s="9" t="s">
        <v>173</v>
      </c>
      <c r="G9" s="8" t="s">
        <v>1448</v>
      </c>
      <c r="H9" s="6"/>
      <c r="I9" s="6"/>
      <c r="J9" s="6"/>
      <c r="K9" s="6"/>
    </row>
    <row r="10" ht="57" spans="1:11">
      <c r="A10" s="6" t="s">
        <v>1449</v>
      </c>
      <c r="B10" s="7" t="str">
        <f>_xlfn.TEXTJOIN(CHAR(10),,Scenario!$A$21,Scenario!$C$21)</f>
        <v>TS012
Validate the working of 'Checkout' functionality</v>
      </c>
      <c r="C10" s="6" t="s">
        <v>1450</v>
      </c>
      <c r="D10" s="8" t="s">
        <v>1420</v>
      </c>
      <c r="E10" s="8" t="s">
        <v>1451</v>
      </c>
      <c r="F10" s="11" t="s">
        <v>1452</v>
      </c>
      <c r="G10" s="8" t="s">
        <v>1453</v>
      </c>
      <c r="H10" s="6"/>
      <c r="I10" s="6"/>
      <c r="J10" s="6"/>
      <c r="K10" s="6"/>
    </row>
    <row r="11" ht="42.75" spans="1:11">
      <c r="A11" s="6" t="s">
        <v>1454</v>
      </c>
      <c r="B11" s="7" t="str">
        <f>_xlfn.TEXTJOIN(CHAR(10),,Scenario!$A$21,Scenario!$C$21)</f>
        <v>TS012
Validate the working of 'Checkout' functionality</v>
      </c>
      <c r="C11" s="6" t="s">
        <v>1455</v>
      </c>
      <c r="D11" s="8" t="s">
        <v>1456</v>
      </c>
      <c r="E11" s="8" t="s">
        <v>1457</v>
      </c>
      <c r="F11" s="9" t="s">
        <v>173</v>
      </c>
      <c r="G11" s="8" t="s">
        <v>1458</v>
      </c>
      <c r="H11" s="6"/>
      <c r="I11" s="6"/>
      <c r="J11" s="6"/>
      <c r="K11" s="6"/>
    </row>
    <row r="12" ht="42.75" spans="1:11">
      <c r="A12" s="6" t="s">
        <v>1459</v>
      </c>
      <c r="B12" s="7" t="str">
        <f>_xlfn.TEXTJOIN(CHAR(10),,Scenario!$A$21,Scenario!$C$21)</f>
        <v>TS012
Validate the working of 'Checkout' functionality</v>
      </c>
      <c r="C12" s="8" t="s">
        <v>1460</v>
      </c>
      <c r="D12" s="8" t="s">
        <v>1456</v>
      </c>
      <c r="E12" s="8" t="s">
        <v>1461</v>
      </c>
      <c r="F12" s="9" t="s">
        <v>173</v>
      </c>
      <c r="G12" s="8" t="s">
        <v>1462</v>
      </c>
      <c r="H12" s="6"/>
      <c r="I12" s="6"/>
      <c r="J12" s="6"/>
      <c r="K12" s="6"/>
    </row>
    <row r="13" ht="42.75" spans="1:11">
      <c r="A13" s="6" t="s">
        <v>1463</v>
      </c>
      <c r="B13" s="7" t="str">
        <f>_xlfn.TEXTJOIN(CHAR(10),,Scenario!$A$21,Scenario!$C$21)</f>
        <v>TS012
Validate the working of 'Checkout' functionality</v>
      </c>
      <c r="C13" s="6" t="s">
        <v>1464</v>
      </c>
      <c r="D13" s="8" t="s">
        <v>1465</v>
      </c>
      <c r="E13" s="6" t="s">
        <v>172</v>
      </c>
      <c r="F13" s="9" t="s">
        <v>173</v>
      </c>
      <c r="G13" s="8" t="s">
        <v>1466</v>
      </c>
      <c r="H13" s="6"/>
      <c r="I13" s="6"/>
      <c r="J13" s="6"/>
      <c r="K13" s="6"/>
    </row>
    <row r="14" ht="42.75" spans="1:11">
      <c r="A14" s="6" t="s">
        <v>1467</v>
      </c>
      <c r="B14" s="7" t="str">
        <f>_xlfn.TEXTJOIN(CHAR(10),,Scenario!$A$21,Scenario!$C$21)</f>
        <v>TS012
Validate the working of 'Checkout' functionality</v>
      </c>
      <c r="C14" s="6" t="s">
        <v>1468</v>
      </c>
      <c r="D14" s="8" t="s">
        <v>1469</v>
      </c>
      <c r="E14" s="8" t="s">
        <v>1470</v>
      </c>
      <c r="F14" s="9" t="s">
        <v>1471</v>
      </c>
      <c r="G14" s="8" t="s">
        <v>1472</v>
      </c>
      <c r="H14" s="6"/>
      <c r="I14" s="6"/>
      <c r="J14" s="6"/>
      <c r="K14" s="6"/>
    </row>
    <row r="15" ht="42.75" spans="1:11">
      <c r="A15" s="6" t="s">
        <v>1473</v>
      </c>
      <c r="B15" s="7" t="str">
        <f>_xlfn.TEXTJOIN(CHAR(10),,Scenario!$A$21,Scenario!$C$21)</f>
        <v>TS012
Validate the working of 'Checkout' functionality</v>
      </c>
      <c r="C15" s="6" t="s">
        <v>1474</v>
      </c>
      <c r="D15" s="8" t="s">
        <v>1469</v>
      </c>
      <c r="E15" s="8" t="s">
        <v>1470</v>
      </c>
      <c r="F15" s="9" t="s">
        <v>1475</v>
      </c>
      <c r="G15" s="8" t="s">
        <v>1476</v>
      </c>
      <c r="H15" s="6"/>
      <c r="I15" s="6"/>
      <c r="J15" s="6"/>
      <c r="K15" s="6"/>
    </row>
    <row r="16" ht="42.75" spans="1:11">
      <c r="A16" s="6" t="s">
        <v>1477</v>
      </c>
      <c r="B16" s="7" t="str">
        <f>_xlfn.TEXTJOIN(CHAR(10),,Scenario!$A$21,Scenario!$C$21)</f>
        <v>TS012
Validate the working of 'Checkout' functionality</v>
      </c>
      <c r="C16" s="6" t="s">
        <v>1478</v>
      </c>
      <c r="D16" s="8" t="s">
        <v>1469</v>
      </c>
      <c r="E16" s="8" t="s">
        <v>1479</v>
      </c>
      <c r="F16" s="9" t="s">
        <v>173</v>
      </c>
      <c r="G16" s="8" t="s">
        <v>1480</v>
      </c>
      <c r="H16" s="6"/>
      <c r="I16" s="6"/>
      <c r="J16" s="6"/>
      <c r="K16" s="6"/>
    </row>
    <row r="17" ht="42.75" spans="1:11">
      <c r="A17" s="6" t="s">
        <v>1481</v>
      </c>
      <c r="B17" s="7" t="str">
        <f>_xlfn.TEXTJOIN(CHAR(10),,Scenario!$A$21,Scenario!$C$21)</f>
        <v>TS012
Validate the working of 'Checkout' functionality</v>
      </c>
      <c r="C17" s="6" t="s">
        <v>1482</v>
      </c>
      <c r="D17" s="8" t="s">
        <v>1469</v>
      </c>
      <c r="E17" s="8" t="s">
        <v>1483</v>
      </c>
      <c r="F17" s="9" t="s">
        <v>1484</v>
      </c>
      <c r="G17" s="8" t="s">
        <v>1485</v>
      </c>
      <c r="H17" s="6"/>
      <c r="I17" s="6"/>
      <c r="J17" s="6"/>
      <c r="K17" s="6"/>
    </row>
    <row r="18" ht="42.75" spans="1:11">
      <c r="A18" s="6" t="s">
        <v>1486</v>
      </c>
      <c r="B18" s="7" t="str">
        <f>_xlfn.TEXTJOIN(CHAR(10),,Scenario!$A$21,Scenario!$C$21)</f>
        <v>TS012
Validate the working of 'Checkout' functionality</v>
      </c>
      <c r="C18" s="6" t="s">
        <v>1487</v>
      </c>
      <c r="D18" s="8" t="s">
        <v>1469</v>
      </c>
      <c r="E18" s="8" t="s">
        <v>1483</v>
      </c>
      <c r="F18" s="9" t="s">
        <v>1488</v>
      </c>
      <c r="G18" s="8" t="s">
        <v>1476</v>
      </c>
      <c r="H18" s="6"/>
      <c r="I18" s="6"/>
      <c r="J18" s="6"/>
      <c r="K18" s="6"/>
    </row>
    <row r="19" ht="42.75" spans="1:11">
      <c r="A19" s="6" t="s">
        <v>1489</v>
      </c>
      <c r="B19" s="7" t="str">
        <f>_xlfn.TEXTJOIN(CHAR(10),,Scenario!$A$21,Scenario!$C$21)</f>
        <v>TS012
Validate the working of 'Checkout' functionality</v>
      </c>
      <c r="C19" s="6" t="s">
        <v>1490</v>
      </c>
      <c r="D19" s="8" t="s">
        <v>1469</v>
      </c>
      <c r="E19" s="8" t="s">
        <v>1491</v>
      </c>
      <c r="F19" s="9" t="s">
        <v>173</v>
      </c>
      <c r="G19" s="8" t="s">
        <v>1492</v>
      </c>
      <c r="H19" s="6"/>
      <c r="I19" s="6"/>
      <c r="J19" s="6"/>
      <c r="K19" s="6"/>
    </row>
    <row r="20" ht="42.75" spans="1:11">
      <c r="A20" s="6" t="s">
        <v>1493</v>
      </c>
      <c r="B20" s="7" t="str">
        <f>_xlfn.TEXTJOIN(CHAR(10),,Scenario!$A$21,Scenario!$C$21)</f>
        <v>TS012
Validate the working of 'Checkout' functionality</v>
      </c>
      <c r="C20" s="6" t="s">
        <v>1494</v>
      </c>
      <c r="D20" s="8" t="s">
        <v>1469</v>
      </c>
      <c r="E20" s="8" t="s">
        <v>1495</v>
      </c>
      <c r="F20" s="11" t="s">
        <v>1452</v>
      </c>
      <c r="G20" s="8" t="s">
        <v>307</v>
      </c>
      <c r="H20" s="6"/>
      <c r="I20" s="6"/>
      <c r="J20" s="6"/>
      <c r="K20" s="6"/>
    </row>
    <row r="21" ht="42.75" spans="1:11">
      <c r="A21" s="6" t="s">
        <v>1496</v>
      </c>
      <c r="B21" s="7" t="str">
        <f>_xlfn.TEXTJOIN(CHAR(10),,Scenario!$A$21,Scenario!$C$21)</f>
        <v>TS012
Validate the working of 'Checkout' functionality</v>
      </c>
      <c r="C21" s="6" t="s">
        <v>1497</v>
      </c>
      <c r="D21" s="8" t="s">
        <v>1469</v>
      </c>
      <c r="E21" s="8" t="s">
        <v>1495</v>
      </c>
      <c r="F21" s="9" t="s">
        <v>1498</v>
      </c>
      <c r="G21" s="8" t="s">
        <v>1499</v>
      </c>
      <c r="H21" s="6"/>
      <c r="I21" s="6"/>
      <c r="J21" s="6"/>
      <c r="K21" s="6"/>
    </row>
    <row r="22" ht="42.75" spans="1:11">
      <c r="A22" s="6" t="s">
        <v>1500</v>
      </c>
      <c r="B22" s="7" t="str">
        <f>_xlfn.TEXTJOIN(CHAR(10),,Scenario!$A$21,Scenario!$C$21)</f>
        <v>TS012
Validate the working of 'Checkout' functionality</v>
      </c>
      <c r="C22" s="6" t="s">
        <v>1501</v>
      </c>
      <c r="D22" s="8" t="s">
        <v>1469</v>
      </c>
      <c r="E22" s="8" t="s">
        <v>1495</v>
      </c>
      <c r="F22" s="11" t="s">
        <v>1502</v>
      </c>
      <c r="G22" s="8" t="s">
        <v>1503</v>
      </c>
      <c r="H22" s="6"/>
      <c r="I22" s="6"/>
      <c r="J22" s="6"/>
      <c r="K22" s="6"/>
    </row>
    <row r="23" ht="42.75" spans="1:11">
      <c r="A23" s="6" t="s">
        <v>1504</v>
      </c>
      <c r="B23" s="7" t="str">
        <f>_xlfn.TEXTJOIN(CHAR(10),,Scenario!$A$21,Scenario!$C$21)</f>
        <v>TS012
Validate the working of 'Checkout' functionality</v>
      </c>
      <c r="C23" s="6" t="s">
        <v>1505</v>
      </c>
      <c r="D23" s="8" t="s">
        <v>1469</v>
      </c>
      <c r="E23" s="8" t="s">
        <v>1506</v>
      </c>
      <c r="F23" s="9" t="s">
        <v>173</v>
      </c>
      <c r="G23" s="8" t="s">
        <v>1507</v>
      </c>
      <c r="H23" s="6"/>
      <c r="I23" s="6"/>
      <c r="J23" s="6"/>
      <c r="K23" s="6"/>
    </row>
    <row r="24" ht="42.75" spans="1:11">
      <c r="A24" s="6" t="s">
        <v>1508</v>
      </c>
      <c r="B24" s="7" t="str">
        <f>_xlfn.TEXTJOIN(CHAR(10),,Scenario!$A$21,Scenario!$C$21)</f>
        <v>TS012
Validate the working of 'Checkout' functionality</v>
      </c>
      <c r="C24" s="6" t="s">
        <v>1509</v>
      </c>
      <c r="D24" s="8" t="s">
        <v>1469</v>
      </c>
      <c r="E24" s="6" t="s">
        <v>172</v>
      </c>
      <c r="F24" s="9" t="s">
        <v>173</v>
      </c>
      <c r="G24" s="8" t="s">
        <v>1510</v>
      </c>
      <c r="H24" s="6"/>
      <c r="I24" s="6"/>
      <c r="J24" s="6"/>
      <c r="K24" s="6"/>
    </row>
    <row r="25" ht="42.75" spans="1:11">
      <c r="A25" s="6" t="s">
        <v>1511</v>
      </c>
      <c r="B25" s="7" t="str">
        <f>_xlfn.TEXTJOIN(CHAR(10),,Scenario!$A$21,Scenario!$C$21)</f>
        <v>TS012
Validate the working of 'Checkout' functionality</v>
      </c>
      <c r="C25" s="6" t="s">
        <v>1512</v>
      </c>
      <c r="D25" s="8" t="s">
        <v>1469</v>
      </c>
      <c r="E25" s="8" t="s">
        <v>1513</v>
      </c>
      <c r="F25" s="9" t="s">
        <v>726</v>
      </c>
      <c r="G25" s="8" t="s">
        <v>1514</v>
      </c>
      <c r="H25" s="6"/>
      <c r="I25" s="6"/>
      <c r="J25" s="6"/>
      <c r="K25" s="6"/>
    </row>
    <row r="26" ht="42.75" spans="1:11">
      <c r="A26" s="6" t="s">
        <v>1515</v>
      </c>
      <c r="B26" s="7" t="str">
        <f>_xlfn.TEXTJOIN(CHAR(10),,Scenario!$A$21,Scenario!$C$21)</f>
        <v>TS012
Validate the working of 'Checkout' functionality</v>
      </c>
      <c r="C26" s="6" t="s">
        <v>1516</v>
      </c>
      <c r="D26" s="8" t="s">
        <v>1469</v>
      </c>
      <c r="E26" s="8" t="s">
        <v>1513</v>
      </c>
      <c r="F26" s="9" t="s">
        <v>1517</v>
      </c>
      <c r="G26" s="8" t="s">
        <v>1518</v>
      </c>
      <c r="H26" s="6"/>
      <c r="I26" s="6"/>
      <c r="J26" s="6"/>
      <c r="K26" s="6"/>
    </row>
    <row r="27" ht="42.75" spans="1:11">
      <c r="A27" s="6" t="s">
        <v>1519</v>
      </c>
      <c r="B27" s="7" t="str">
        <f>_xlfn.TEXTJOIN(CHAR(10),,Scenario!$A$21,Scenario!$C$21)</f>
        <v>TS012
Validate the working of 'Checkout' functionality</v>
      </c>
      <c r="C27" s="6" t="s">
        <v>1520</v>
      </c>
      <c r="D27" s="8" t="s">
        <v>1469</v>
      </c>
      <c r="E27" s="8" t="s">
        <v>1521</v>
      </c>
      <c r="F27" s="9" t="s">
        <v>173</v>
      </c>
      <c r="G27" s="8" t="s">
        <v>1522</v>
      </c>
      <c r="H27" s="6"/>
      <c r="I27" s="6"/>
      <c r="J27" s="6"/>
      <c r="K27" s="6"/>
    </row>
    <row r="28" ht="42.75" spans="1:11">
      <c r="A28" s="6" t="s">
        <v>1523</v>
      </c>
      <c r="B28" s="7" t="str">
        <f>_xlfn.TEXTJOIN(CHAR(10),,Scenario!$A$21,Scenario!$C$21)</f>
        <v>TS012
Validate the working of 'Checkout' functionality</v>
      </c>
      <c r="C28" s="6" t="s">
        <v>1524</v>
      </c>
      <c r="D28" s="8" t="s">
        <v>1469</v>
      </c>
      <c r="E28" s="8" t="s">
        <v>1525</v>
      </c>
      <c r="F28" s="9" t="s">
        <v>173</v>
      </c>
      <c r="G28" s="8" t="s">
        <v>1526</v>
      </c>
      <c r="H28" s="6"/>
      <c r="I28" s="6"/>
      <c r="J28" s="6"/>
      <c r="K28" s="6"/>
    </row>
    <row r="29" ht="42.75" spans="1:11">
      <c r="A29" s="6" t="s">
        <v>1527</v>
      </c>
      <c r="B29" s="7" t="str">
        <f>_xlfn.TEXTJOIN(CHAR(10),,Scenario!$A$21,Scenario!$C$21)</f>
        <v>TS012
Validate the working of 'Checkout' functionality</v>
      </c>
      <c r="C29" s="6" t="s">
        <v>1528</v>
      </c>
      <c r="D29" s="8" t="s">
        <v>1469</v>
      </c>
      <c r="E29" s="8" t="s">
        <v>1529</v>
      </c>
      <c r="F29" s="9" t="s">
        <v>1530</v>
      </c>
      <c r="G29" s="8" t="s">
        <v>1531</v>
      </c>
      <c r="H29" s="6"/>
      <c r="I29" s="6"/>
      <c r="J29" s="6"/>
      <c r="K29" s="6"/>
    </row>
    <row r="30" ht="42.75" spans="1:11">
      <c r="A30" s="6" t="s">
        <v>1532</v>
      </c>
      <c r="B30" s="7" t="str">
        <f>_xlfn.TEXTJOIN(CHAR(10),,Scenario!$A$21,Scenario!$C$21)</f>
        <v>TS012
Validate the working of 'Checkout' functionality</v>
      </c>
      <c r="C30" s="6" t="s">
        <v>1533</v>
      </c>
      <c r="D30" s="8" t="s">
        <v>1469</v>
      </c>
      <c r="E30" s="8" t="s">
        <v>1529</v>
      </c>
      <c r="F30" s="9" t="s">
        <v>1534</v>
      </c>
      <c r="G30" s="8" t="s">
        <v>1535</v>
      </c>
      <c r="H30" s="6"/>
      <c r="I30" s="6"/>
      <c r="J30" s="6"/>
      <c r="K30" s="6"/>
    </row>
    <row r="31" ht="42.75" spans="1:11">
      <c r="A31" s="6" t="s">
        <v>1536</v>
      </c>
      <c r="B31" s="7" t="str">
        <f>_xlfn.TEXTJOIN(CHAR(10),,Scenario!$A$21,Scenario!$C$21)</f>
        <v>TS012
Validate the working of 'Checkout' functionality</v>
      </c>
      <c r="C31" s="6" t="s">
        <v>1537</v>
      </c>
      <c r="D31" s="8" t="s">
        <v>1469</v>
      </c>
      <c r="E31" s="8" t="s">
        <v>1538</v>
      </c>
      <c r="F31" s="9" t="s">
        <v>173</v>
      </c>
      <c r="G31" s="8" t="s">
        <v>1539</v>
      </c>
      <c r="H31" s="6"/>
      <c r="I31" s="6"/>
      <c r="J31" s="6"/>
      <c r="K31" s="6"/>
    </row>
    <row r="32" ht="42.75" spans="1:11">
      <c r="A32" s="6" t="s">
        <v>1540</v>
      </c>
      <c r="B32" s="7" t="str">
        <f>_xlfn.TEXTJOIN(CHAR(10),,Scenario!$A$21,Scenario!$C$21)</f>
        <v>TS012
Validate the working of 'Checkout' functionality</v>
      </c>
      <c r="C32" s="6" t="s">
        <v>1541</v>
      </c>
      <c r="D32" s="8" t="s">
        <v>1469</v>
      </c>
      <c r="E32" s="8" t="s">
        <v>1542</v>
      </c>
      <c r="F32" s="9" t="s">
        <v>1543</v>
      </c>
      <c r="G32" s="8" t="s">
        <v>1544</v>
      </c>
      <c r="H32" s="6"/>
      <c r="I32" s="6"/>
      <c r="J32" s="6"/>
      <c r="K32" s="6"/>
    </row>
    <row r="33" ht="42.75" spans="1:11">
      <c r="A33" s="6" t="s">
        <v>1545</v>
      </c>
      <c r="B33" s="7" t="str">
        <f>_xlfn.TEXTJOIN(CHAR(10),,Scenario!$A$21,Scenario!$C$21)</f>
        <v>TS012
Validate the working of 'Checkout' functionality</v>
      </c>
      <c r="C33" s="6" t="s">
        <v>1546</v>
      </c>
      <c r="D33" s="8" t="s">
        <v>1469</v>
      </c>
      <c r="E33" s="8" t="s">
        <v>1547</v>
      </c>
      <c r="F33" s="9" t="s">
        <v>1548</v>
      </c>
      <c r="G33" s="8" t="s">
        <v>1549</v>
      </c>
      <c r="H33" s="6"/>
      <c r="I33" s="6"/>
      <c r="J33" s="6"/>
      <c r="K33" s="6"/>
    </row>
    <row r="34" ht="42.75" spans="1:11">
      <c r="A34" s="6" t="s">
        <v>1550</v>
      </c>
      <c r="B34" s="7" t="str">
        <f>_xlfn.TEXTJOIN(CHAR(10),,Scenario!$A$21,Scenario!$C$21)</f>
        <v>TS012
Validate the working of 'Checkout' functionality</v>
      </c>
      <c r="C34" s="6" t="s">
        <v>1551</v>
      </c>
      <c r="D34" s="8" t="s">
        <v>1469</v>
      </c>
      <c r="E34" s="8" t="s">
        <v>1547</v>
      </c>
      <c r="F34" s="9" t="s">
        <v>1552</v>
      </c>
      <c r="G34" s="8" t="s">
        <v>1553</v>
      </c>
      <c r="H34" s="6"/>
      <c r="I34" s="6"/>
      <c r="J34" s="6"/>
      <c r="K34" s="6"/>
    </row>
    <row r="35" ht="42.75" spans="1:11">
      <c r="A35" s="6" t="s">
        <v>1554</v>
      </c>
      <c r="B35" s="7" t="str">
        <f>_xlfn.TEXTJOIN(CHAR(10),,Scenario!$A$21,Scenario!$C$21)</f>
        <v>TS012
Validate the working of 'Checkout' functionality</v>
      </c>
      <c r="C35" s="6" t="s">
        <v>1555</v>
      </c>
      <c r="D35" s="8" t="s">
        <v>1469</v>
      </c>
      <c r="E35" s="8" t="s">
        <v>1556</v>
      </c>
      <c r="F35" s="9" t="s">
        <v>173</v>
      </c>
      <c r="G35" s="8" t="s">
        <v>1557</v>
      </c>
      <c r="H35" s="6"/>
      <c r="I35" s="6"/>
      <c r="J35" s="6"/>
      <c r="K35" s="6"/>
    </row>
    <row r="36" ht="42.75" spans="1:11">
      <c r="A36" s="6" t="s">
        <v>1558</v>
      </c>
      <c r="B36" s="7" t="str">
        <f>_xlfn.TEXTJOIN(CHAR(10),,Scenario!$A$21,Scenario!$C$21)</f>
        <v>TS012
Validate the working of 'Checkout' functionality</v>
      </c>
      <c r="C36" s="6" t="s">
        <v>1559</v>
      </c>
      <c r="D36" s="8" t="s">
        <v>1469</v>
      </c>
      <c r="E36" s="8" t="s">
        <v>1560</v>
      </c>
      <c r="F36" s="9" t="s">
        <v>1258</v>
      </c>
      <c r="G36" s="8" t="s">
        <v>1561</v>
      </c>
      <c r="H36" s="6"/>
      <c r="I36" s="6"/>
      <c r="J36" s="6"/>
      <c r="K36" s="6"/>
    </row>
    <row r="37" ht="42.75" spans="1:11">
      <c r="A37" s="6" t="s">
        <v>1562</v>
      </c>
      <c r="B37" s="7" t="str">
        <f>_xlfn.TEXTJOIN(CHAR(10),,Scenario!$A$21,Scenario!$C$21)</f>
        <v>TS012
Validate the working of 'Checkout' functionality</v>
      </c>
      <c r="C37" s="6" t="s">
        <v>1563</v>
      </c>
      <c r="D37" s="8" t="s">
        <v>1469</v>
      </c>
      <c r="E37" s="8" t="s">
        <v>1564</v>
      </c>
      <c r="F37" s="9" t="s">
        <v>173</v>
      </c>
      <c r="G37" s="8" t="s">
        <v>1565</v>
      </c>
      <c r="H37" s="6"/>
      <c r="I37" s="6"/>
      <c r="J37" s="6"/>
      <c r="K37" s="6"/>
    </row>
    <row r="38" ht="42.75" spans="1:11">
      <c r="A38" s="6"/>
      <c r="B38" s="7" t="str">
        <f>_xlfn.TEXTJOIN(CHAR(10),,Scenario!$A$21,Scenario!$C$21)</f>
        <v>TS012
Validate the working of 'Checkout' functionality</v>
      </c>
      <c r="C38" s="6" t="s">
        <v>1566</v>
      </c>
      <c r="D38" s="8" t="s">
        <v>1469</v>
      </c>
      <c r="E38" s="8" t="s">
        <v>1560</v>
      </c>
      <c r="F38" s="9" t="s">
        <v>1567</v>
      </c>
      <c r="G38" s="8" t="s">
        <v>1568</v>
      </c>
      <c r="H38" s="6"/>
      <c r="I38" s="6"/>
      <c r="J38" s="6"/>
      <c r="K38" s="6"/>
    </row>
    <row r="39" ht="42.75" spans="1:11">
      <c r="A39" s="6" t="s">
        <v>1569</v>
      </c>
      <c r="B39" s="7" t="str">
        <f>_xlfn.TEXTJOIN(CHAR(10),,Scenario!$A$21,Scenario!$C$21)</f>
        <v>TS012
Validate the working of 'Checkout' functionality</v>
      </c>
      <c r="C39" s="6" t="s">
        <v>1570</v>
      </c>
      <c r="D39" s="8" t="s">
        <v>1469</v>
      </c>
      <c r="E39" s="8" t="s">
        <v>1571</v>
      </c>
      <c r="F39" s="9" t="s">
        <v>1572</v>
      </c>
      <c r="G39" s="8" t="s">
        <v>1573</v>
      </c>
      <c r="H39" s="6"/>
      <c r="I39" s="6"/>
      <c r="J39" s="6"/>
      <c r="K39" s="6"/>
    </row>
    <row r="40" ht="42.75" spans="1:11">
      <c r="A40" s="6" t="s">
        <v>1574</v>
      </c>
      <c r="B40" s="7" t="str">
        <f>_xlfn.TEXTJOIN(CHAR(10),,Scenario!$A$21,Scenario!$C$21)</f>
        <v>TS012
Validate the working of 'Checkout' functionality</v>
      </c>
      <c r="C40" s="6" t="s">
        <v>1575</v>
      </c>
      <c r="D40" s="8" t="s">
        <v>1469</v>
      </c>
      <c r="E40" s="8" t="s">
        <v>1576</v>
      </c>
      <c r="F40" s="9" t="s">
        <v>1577</v>
      </c>
      <c r="G40" s="8" t="s">
        <v>1578</v>
      </c>
      <c r="H40" s="6"/>
      <c r="I40" s="6"/>
      <c r="J40" s="6"/>
      <c r="K40" s="6"/>
    </row>
    <row r="41" ht="42.75" spans="1:11">
      <c r="A41" s="6" t="s">
        <v>1579</v>
      </c>
      <c r="B41" s="7" t="str">
        <f>_xlfn.TEXTJOIN(CHAR(10),,Scenario!$A$21,Scenario!$C$21)</f>
        <v>TS012
Validate the working of 'Checkout' functionality</v>
      </c>
      <c r="C41" s="6" t="s">
        <v>1580</v>
      </c>
      <c r="D41" s="8" t="s">
        <v>1581</v>
      </c>
      <c r="E41" s="8" t="s">
        <v>1582</v>
      </c>
      <c r="F41" s="9" t="s">
        <v>173</v>
      </c>
      <c r="G41" s="8" t="s">
        <v>1583</v>
      </c>
      <c r="H41" s="6"/>
      <c r="I41" s="6"/>
      <c r="J41" s="6"/>
      <c r="K41" s="6"/>
    </row>
    <row r="42" ht="42.75" spans="1:11">
      <c r="A42" s="6" t="s">
        <v>1584</v>
      </c>
      <c r="B42" s="7" t="str">
        <f>_xlfn.TEXTJOIN(CHAR(10),,Scenario!$A$21,Scenario!$C$21)</f>
        <v>TS012
Validate the working of 'Checkout' functionality</v>
      </c>
      <c r="C42" s="6" t="s">
        <v>1585</v>
      </c>
      <c r="D42" s="8" t="s">
        <v>1469</v>
      </c>
      <c r="E42" s="8" t="s">
        <v>1582</v>
      </c>
      <c r="F42" s="9" t="s">
        <v>173</v>
      </c>
      <c r="G42" s="8" t="s">
        <v>1586</v>
      </c>
      <c r="H42" s="6" t="s">
        <v>1587</v>
      </c>
      <c r="I42" s="6"/>
      <c r="J42" s="6"/>
      <c r="K42" s="6"/>
    </row>
    <row r="43" ht="42.75" spans="1:11">
      <c r="A43" s="6" t="s">
        <v>1588</v>
      </c>
      <c r="B43" s="7" t="str">
        <f>_xlfn.TEXTJOIN(CHAR(10),,Scenario!$A$21,Scenario!$C$21)</f>
        <v>TS012
Validate the working of 'Checkout' functionality</v>
      </c>
      <c r="C43" s="6" t="s">
        <v>1589</v>
      </c>
      <c r="D43" s="8" t="s">
        <v>1469</v>
      </c>
      <c r="E43" s="8" t="s">
        <v>1590</v>
      </c>
      <c r="F43" s="9" t="s">
        <v>1591</v>
      </c>
      <c r="G43" s="8" t="s">
        <v>1592</v>
      </c>
      <c r="H43" s="6"/>
      <c r="I43" s="6"/>
      <c r="J43" s="6"/>
      <c r="K43" s="6"/>
    </row>
    <row r="44" ht="42.75" spans="1:11">
      <c r="A44" s="6" t="s">
        <v>1593</v>
      </c>
      <c r="B44" s="7" t="str">
        <f>_xlfn.TEXTJOIN(CHAR(10),,Scenario!$A$21,Scenario!$C$21)</f>
        <v>TS012
Validate the working of 'Checkout' functionality</v>
      </c>
      <c r="C44" s="6" t="s">
        <v>1594</v>
      </c>
      <c r="D44" s="8" t="s">
        <v>1595</v>
      </c>
      <c r="E44" s="8" t="s">
        <v>1596</v>
      </c>
      <c r="F44" s="9" t="s">
        <v>173</v>
      </c>
      <c r="G44" s="8" t="s">
        <v>1597</v>
      </c>
      <c r="H44" s="8" t="s">
        <v>1598</v>
      </c>
      <c r="I44" s="6"/>
      <c r="J44" s="6"/>
      <c r="K44" s="6"/>
    </row>
    <row r="45" ht="42.75" spans="1:11">
      <c r="A45" s="6" t="s">
        <v>1599</v>
      </c>
      <c r="B45" s="7" t="str">
        <f>_xlfn.TEXTJOIN(CHAR(10),,Scenario!$A$21,Scenario!$C$21)</f>
        <v>TS012
Validate the working of 'Checkout' functionality</v>
      </c>
      <c r="C45" s="6" t="s">
        <v>1600</v>
      </c>
      <c r="D45" s="8" t="s">
        <v>1595</v>
      </c>
      <c r="E45" s="8" t="s">
        <v>1596</v>
      </c>
      <c r="F45" s="9" t="s">
        <v>1601</v>
      </c>
      <c r="G45" s="8" t="s">
        <v>1602</v>
      </c>
      <c r="H45" s="6"/>
      <c r="I45" s="6"/>
      <c r="J45" s="6"/>
      <c r="K45" s="6"/>
    </row>
    <row r="46" ht="42.75" spans="1:11">
      <c r="A46" s="6" t="s">
        <v>1603</v>
      </c>
      <c r="B46" s="7" t="str">
        <f>_xlfn.TEXTJOIN(CHAR(10),,Scenario!$A$21,Scenario!$C$21)</f>
        <v>TS012
Validate the working of 'Checkout' functionality</v>
      </c>
      <c r="C46" s="6" t="s">
        <v>1604</v>
      </c>
      <c r="D46" s="8" t="s">
        <v>1595</v>
      </c>
      <c r="E46" s="8" t="s">
        <v>1596</v>
      </c>
      <c r="F46" s="9" t="s">
        <v>173</v>
      </c>
      <c r="G46" s="8" t="s">
        <v>1605</v>
      </c>
      <c r="H46" s="6"/>
      <c r="I46" s="6"/>
      <c r="J46" s="6"/>
      <c r="K46" s="6"/>
    </row>
    <row r="47" ht="42.75" spans="1:11">
      <c r="A47" s="6" t="s">
        <v>1606</v>
      </c>
      <c r="B47" s="7" t="str">
        <f>_xlfn.TEXTJOIN(CHAR(10),,Scenario!$A$21,Scenario!$C$21)</f>
        <v>TS012
Validate the working of 'Checkout' functionality</v>
      </c>
      <c r="C47" s="6" t="s">
        <v>1607</v>
      </c>
      <c r="D47" s="8" t="s">
        <v>1608</v>
      </c>
      <c r="E47" s="8" t="s">
        <v>1609</v>
      </c>
      <c r="F47" s="9" t="s">
        <v>173</v>
      </c>
      <c r="G47" s="8" t="s">
        <v>1610</v>
      </c>
      <c r="H47" s="6"/>
      <c r="I47" s="6"/>
      <c r="J47" s="6"/>
      <c r="K47" s="6"/>
    </row>
    <row r="48" ht="57" spans="1:11">
      <c r="A48" s="6" t="s">
        <v>1611</v>
      </c>
      <c r="B48" s="7" t="str">
        <f>_xlfn.TEXTJOIN(CHAR(10),,Scenario!$A$21,Scenario!$C$21)</f>
        <v>TS012
Validate the working of 'Checkout' functionality</v>
      </c>
      <c r="C48" s="6" t="s">
        <v>1612</v>
      </c>
      <c r="D48" s="8" t="s">
        <v>1595</v>
      </c>
      <c r="E48" s="8" t="s">
        <v>1613</v>
      </c>
      <c r="F48" s="9" t="s">
        <v>1614</v>
      </c>
      <c r="G48" s="8" t="s">
        <v>1615</v>
      </c>
      <c r="H48" s="6"/>
      <c r="I48" s="6"/>
      <c r="J48" s="6"/>
      <c r="K48" s="6"/>
    </row>
    <row r="49" ht="42.75" spans="1:11">
      <c r="A49" s="6" t="s">
        <v>1616</v>
      </c>
      <c r="B49" s="7" t="str">
        <f>_xlfn.TEXTJOIN(CHAR(10),,Scenario!$A$21,Scenario!$C$21)</f>
        <v>TS012
Validate the working of 'Checkout' functionality</v>
      </c>
      <c r="C49" s="6" t="s">
        <v>1617</v>
      </c>
      <c r="D49" s="8" t="s">
        <v>1595</v>
      </c>
      <c r="E49" s="8" t="s">
        <v>1618</v>
      </c>
      <c r="F49" s="9" t="s">
        <v>173</v>
      </c>
      <c r="G49" s="8" t="s">
        <v>1619</v>
      </c>
      <c r="H49" s="6" t="s">
        <v>1620</v>
      </c>
      <c r="I49" s="6"/>
      <c r="J49" s="6"/>
      <c r="K49" s="6"/>
    </row>
    <row r="50" ht="42.75" spans="1:11">
      <c r="A50" s="6" t="s">
        <v>1621</v>
      </c>
      <c r="B50" s="7" t="str">
        <f>_xlfn.TEXTJOIN(CHAR(10),,Scenario!$A$21,Scenario!$C$21)</f>
        <v>TS012
Validate the working of 'Checkout' functionality</v>
      </c>
      <c r="C50" s="6" t="s">
        <v>1622</v>
      </c>
      <c r="D50" s="8" t="s">
        <v>1595</v>
      </c>
      <c r="E50" s="6" t="s">
        <v>172</v>
      </c>
      <c r="F50" s="9" t="s">
        <v>173</v>
      </c>
      <c r="G50" s="8" t="s">
        <v>1623</v>
      </c>
      <c r="H50" s="6"/>
      <c r="I50" s="6"/>
      <c r="J50" s="6"/>
      <c r="K50" s="6"/>
    </row>
    <row r="51" ht="42.75" spans="1:11">
      <c r="A51" s="6" t="s">
        <v>1624</v>
      </c>
      <c r="B51" s="7" t="str">
        <f>_xlfn.TEXTJOIN(CHAR(10),,Scenario!$A$21,Scenario!$C$21)</f>
        <v>TS012
Validate the working of 'Checkout' functionality</v>
      </c>
      <c r="C51" s="6" t="s">
        <v>1625</v>
      </c>
      <c r="D51" s="8" t="s">
        <v>1595</v>
      </c>
      <c r="E51" s="8" t="s">
        <v>1626</v>
      </c>
      <c r="F51" s="9" t="s">
        <v>173</v>
      </c>
      <c r="G51" s="8" t="s">
        <v>1627</v>
      </c>
      <c r="H51" s="6"/>
      <c r="I51" s="6"/>
      <c r="J51" s="6"/>
      <c r="K51" s="6"/>
    </row>
    <row r="52" ht="42.75" spans="1:11">
      <c r="A52" s="6" t="s">
        <v>1628</v>
      </c>
      <c r="B52" s="7" t="str">
        <f>_xlfn.TEXTJOIN(CHAR(10),,Scenario!$A$21,Scenario!$C$21)</f>
        <v>TS012
Validate the working of 'Checkout' functionality</v>
      </c>
      <c r="C52" s="6" t="s">
        <v>1629</v>
      </c>
      <c r="D52" s="8" t="s">
        <v>1595</v>
      </c>
      <c r="E52" s="8" t="s">
        <v>1630</v>
      </c>
      <c r="F52" s="9" t="s">
        <v>1631</v>
      </c>
      <c r="G52" s="8" t="s">
        <v>1632</v>
      </c>
      <c r="H52" s="6"/>
      <c r="I52" s="6"/>
      <c r="J52" s="6"/>
      <c r="K52" s="6"/>
    </row>
    <row r="53" ht="42.75" spans="1:11">
      <c r="A53" s="6" t="s">
        <v>1633</v>
      </c>
      <c r="B53" s="7" t="str">
        <f>_xlfn.TEXTJOIN(CHAR(10),,Scenario!$A$21,Scenario!$C$21)</f>
        <v>TS012
Validate the working of 'Checkout' functionality</v>
      </c>
      <c r="C53" s="6" t="s">
        <v>1634</v>
      </c>
      <c r="D53" s="8" t="s">
        <v>1595</v>
      </c>
      <c r="E53" s="8" t="s">
        <v>1630</v>
      </c>
      <c r="F53" s="10" t="s">
        <v>1635</v>
      </c>
      <c r="G53" s="8" t="s">
        <v>1636</v>
      </c>
      <c r="H53" s="6"/>
      <c r="I53" s="6"/>
      <c r="J53" s="6"/>
      <c r="K53" s="6"/>
    </row>
    <row r="54" ht="42.75" spans="1:11">
      <c r="A54" s="6" t="s">
        <v>1637</v>
      </c>
      <c r="B54" s="7" t="str">
        <f>_xlfn.TEXTJOIN(CHAR(10),,Scenario!$A$21,Scenario!$C$21)</f>
        <v>TS012
Validate the working of 'Checkout' functionality</v>
      </c>
      <c r="C54" s="6" t="s">
        <v>1638</v>
      </c>
      <c r="D54" s="8" t="s">
        <v>1595</v>
      </c>
      <c r="E54" s="6" t="s">
        <v>172</v>
      </c>
      <c r="F54" s="9" t="s">
        <v>173</v>
      </c>
      <c r="G54" s="8" t="s">
        <v>1639</v>
      </c>
      <c r="H54" s="6"/>
      <c r="I54" s="6"/>
      <c r="J54" s="6"/>
      <c r="K54" s="6"/>
    </row>
    <row r="55" ht="42.75" spans="1:11">
      <c r="A55" s="6" t="s">
        <v>1640</v>
      </c>
      <c r="B55" s="7" t="str">
        <f>_xlfn.TEXTJOIN(CHAR(10),,Scenario!$A$21,Scenario!$C$21)</f>
        <v>TS012
Validate the working of 'Checkout' functionality</v>
      </c>
      <c r="C55" s="6" t="s">
        <v>1641</v>
      </c>
      <c r="D55" s="8" t="s">
        <v>1595</v>
      </c>
      <c r="E55" s="6" t="s">
        <v>172</v>
      </c>
      <c r="F55" s="9" t="s">
        <v>173</v>
      </c>
      <c r="G55" s="8" t="s">
        <v>1642</v>
      </c>
      <c r="H55" s="6"/>
      <c r="I55" s="6"/>
      <c r="J55" s="6"/>
      <c r="K55" s="6"/>
    </row>
    <row r="56" ht="42.75" spans="1:11">
      <c r="A56" s="6" t="s">
        <v>1643</v>
      </c>
      <c r="B56" s="7" t="str">
        <f>_xlfn.TEXTJOIN(CHAR(10),,Scenario!$A$21,Scenario!$C$21)</f>
        <v>TS012
Validate the working of 'Checkout' functionality</v>
      </c>
      <c r="C56" s="6" t="s">
        <v>1644</v>
      </c>
      <c r="D56" s="8" t="s">
        <v>1595</v>
      </c>
      <c r="E56" s="6" t="s">
        <v>172</v>
      </c>
      <c r="F56" s="9" t="s">
        <v>173</v>
      </c>
      <c r="G56" s="8" t="s">
        <v>1645</v>
      </c>
      <c r="H56" s="6"/>
      <c r="I56" s="6"/>
      <c r="J56" s="6"/>
      <c r="K56" s="6"/>
    </row>
    <row r="57" ht="42.75" spans="1:11">
      <c r="A57" s="6" t="s">
        <v>1646</v>
      </c>
      <c r="B57" s="7" t="str">
        <f>_xlfn.TEXTJOIN(CHAR(10),,Scenario!$A$21,Scenario!$C$21)</f>
        <v>TS012
Validate the working of 'Checkout' functionality</v>
      </c>
      <c r="C57" s="6" t="s">
        <v>1647</v>
      </c>
      <c r="D57" s="8" t="s">
        <v>1595</v>
      </c>
      <c r="E57" s="6" t="s">
        <v>172</v>
      </c>
      <c r="F57" s="9" t="s">
        <v>173</v>
      </c>
      <c r="G57" s="8" t="s">
        <v>1648</v>
      </c>
      <c r="H57" s="6"/>
      <c r="I57" s="6"/>
      <c r="J57" s="6"/>
      <c r="K57" s="6"/>
    </row>
    <row r="58" ht="42.75" spans="1:11">
      <c r="A58" s="6" t="s">
        <v>1649</v>
      </c>
      <c r="B58" s="7" t="str">
        <f>_xlfn.TEXTJOIN(CHAR(10),,Scenario!$A$21,Scenario!$C$21)</f>
        <v>TS012
Validate the working of 'Checkout' functionality</v>
      </c>
      <c r="C58" s="6" t="s">
        <v>1650</v>
      </c>
      <c r="D58" s="8" t="s">
        <v>1595</v>
      </c>
      <c r="E58" s="6" t="s">
        <v>172</v>
      </c>
      <c r="F58" s="9" t="s">
        <v>173</v>
      </c>
      <c r="G58" s="8" t="s">
        <v>1651</v>
      </c>
      <c r="H58" s="6"/>
      <c r="I58" s="6"/>
      <c r="J58" s="6"/>
      <c r="K58" s="6"/>
    </row>
    <row r="59" ht="42.75" spans="1:11">
      <c r="A59" s="6" t="s">
        <v>1652</v>
      </c>
      <c r="B59" s="7" t="str">
        <f>_xlfn.TEXTJOIN(CHAR(10),,Scenario!$A$21,Scenario!$C$21)</f>
        <v>TS012
Validate the working of 'Checkout' functionality</v>
      </c>
      <c r="C59" s="6" t="s">
        <v>1653</v>
      </c>
      <c r="D59" s="8" t="s">
        <v>1595</v>
      </c>
      <c r="E59" s="6" t="s">
        <v>172</v>
      </c>
      <c r="F59" s="9" t="s">
        <v>173</v>
      </c>
      <c r="G59" s="8" t="s">
        <v>1654</v>
      </c>
      <c r="H59" s="6"/>
      <c r="I59" s="6"/>
      <c r="J59" s="6"/>
      <c r="K59" s="6"/>
    </row>
    <row r="60" ht="42.75" spans="1:11">
      <c r="A60" s="6" t="s">
        <v>1655</v>
      </c>
      <c r="B60" s="7" t="str">
        <f>_xlfn.TEXTJOIN(CHAR(10),,Scenario!$A$21,Scenario!$C$21)</f>
        <v>TS012
Validate the working of 'Checkout' functionality</v>
      </c>
      <c r="C60" s="6" t="s">
        <v>1656</v>
      </c>
      <c r="D60" s="8" t="s">
        <v>1657</v>
      </c>
      <c r="E60" s="6"/>
      <c r="F60" s="9"/>
      <c r="G60" s="8"/>
      <c r="H60" s="6"/>
      <c r="I60" s="6"/>
      <c r="J60" s="6"/>
      <c r="K60" s="6"/>
    </row>
    <row r="61" ht="42.75" spans="1:11">
      <c r="A61" s="6" t="s">
        <v>1658</v>
      </c>
      <c r="B61" s="7" t="str">
        <f>_xlfn.TEXTJOIN(CHAR(10),,Scenario!$A$21,Scenario!$C$21)</f>
        <v>TS012
Validate the working of 'Checkout' functionality</v>
      </c>
      <c r="C61" s="6" t="s">
        <v>1659</v>
      </c>
      <c r="D61" s="8" t="s">
        <v>1657</v>
      </c>
      <c r="E61" s="6"/>
      <c r="F61" s="9"/>
      <c r="G61" s="8"/>
      <c r="H61" s="6"/>
      <c r="I61" s="6"/>
      <c r="J61" s="6"/>
      <c r="K61" s="6"/>
    </row>
    <row r="62" ht="42.75" spans="1:11">
      <c r="A62" s="6" t="s">
        <v>1660</v>
      </c>
      <c r="B62" s="7" t="str">
        <f>_xlfn.TEXTJOIN(CHAR(10),,Scenario!$A$21,Scenario!$C$21)</f>
        <v>TS012
Validate the working of 'Checkout' functionality</v>
      </c>
      <c r="C62" s="6" t="s">
        <v>1661</v>
      </c>
      <c r="D62" s="8" t="s">
        <v>1657</v>
      </c>
      <c r="E62" s="6"/>
      <c r="F62" s="9"/>
      <c r="G62" s="8"/>
      <c r="H62" s="6"/>
      <c r="I62" s="6"/>
      <c r="J62" s="6"/>
      <c r="K62" s="6"/>
    </row>
    <row r="63" ht="42.75" spans="1:11">
      <c r="A63" s="6" t="s">
        <v>1662</v>
      </c>
      <c r="B63" s="7" t="str">
        <f>_xlfn.TEXTJOIN(CHAR(10),,Scenario!$A$21,Scenario!$C$21)</f>
        <v>TS012
Validate the working of 'Checkout' functionality</v>
      </c>
      <c r="C63" s="6" t="s">
        <v>1663</v>
      </c>
      <c r="D63" s="8" t="s">
        <v>1657</v>
      </c>
      <c r="E63" s="6"/>
      <c r="F63" s="9"/>
      <c r="G63" s="8"/>
      <c r="H63" s="6"/>
      <c r="I63" s="6"/>
      <c r="J63" s="6"/>
      <c r="K63" s="6"/>
    </row>
    <row r="64" ht="42.75" spans="1:11">
      <c r="A64" s="6" t="s">
        <v>1664</v>
      </c>
      <c r="B64" s="7" t="str">
        <f>_xlfn.TEXTJOIN(CHAR(10),,Scenario!$A$21,Scenario!$C$21)</f>
        <v>TS012
Validate the working of 'Checkout' functionality</v>
      </c>
      <c r="C64" s="6" t="s">
        <v>1665</v>
      </c>
      <c r="D64" s="8" t="s">
        <v>1657</v>
      </c>
      <c r="E64" s="6"/>
      <c r="F64" s="9"/>
      <c r="G64" s="8"/>
      <c r="H64" s="6"/>
      <c r="I64" s="6"/>
      <c r="J64" s="6"/>
      <c r="K64" s="6"/>
    </row>
    <row r="65" ht="42.75" spans="1:11">
      <c r="A65" s="6" t="s">
        <v>1666</v>
      </c>
      <c r="B65" s="7" t="str">
        <f>_xlfn.TEXTJOIN(CHAR(10),,Scenario!$A$21,Scenario!$C$21)</f>
        <v>TS012
Validate the working of 'Checkout' functionality</v>
      </c>
      <c r="C65" s="6" t="s">
        <v>1667</v>
      </c>
      <c r="D65" s="8" t="s">
        <v>1657</v>
      </c>
      <c r="E65" s="6"/>
      <c r="F65" s="9"/>
      <c r="G65" s="8"/>
      <c r="H65" s="6"/>
      <c r="I65" s="6"/>
      <c r="J65" s="6"/>
      <c r="K65" s="6"/>
    </row>
    <row r="66" ht="42.75" spans="1:11">
      <c r="A66" s="6" t="s">
        <v>1668</v>
      </c>
      <c r="B66" s="7" t="str">
        <f>_xlfn.TEXTJOIN(CHAR(10),,Scenario!$A$21,Scenario!$C$21)</f>
        <v>TS012
Validate the working of 'Checkout' functionality</v>
      </c>
      <c r="C66" s="6" t="s">
        <v>1669</v>
      </c>
      <c r="D66" s="8" t="s">
        <v>1670</v>
      </c>
      <c r="E66" s="6"/>
      <c r="F66" s="9"/>
      <c r="G66" s="8"/>
      <c r="H66" s="6"/>
      <c r="I66" s="6"/>
      <c r="J66" s="6"/>
      <c r="K66" s="6"/>
    </row>
    <row r="67" ht="42.75" spans="1:11">
      <c r="A67" s="6" t="s">
        <v>1671</v>
      </c>
      <c r="B67" s="7" t="str">
        <f>_xlfn.TEXTJOIN(CHAR(10),,Scenario!$A$21,Scenario!$C$21)</f>
        <v>TS012
Validate the working of 'Checkout' functionality</v>
      </c>
      <c r="C67" s="6" t="s">
        <v>1672</v>
      </c>
      <c r="D67" s="8" t="s">
        <v>1673</v>
      </c>
      <c r="E67" s="6"/>
      <c r="F67" s="9"/>
      <c r="G67" s="8"/>
      <c r="H67" s="6"/>
      <c r="I67" s="6"/>
      <c r="J67" s="6"/>
      <c r="K67" s="6"/>
    </row>
    <row r="68" ht="42.75" spans="1:11">
      <c r="A68" s="6" t="s">
        <v>1674</v>
      </c>
      <c r="B68" s="7" t="str">
        <f>_xlfn.TEXTJOIN(CHAR(10),,Scenario!$A$21,Scenario!$C$21)</f>
        <v>TS012
Validate the working of 'Checkout' functionality</v>
      </c>
      <c r="C68" s="6" t="s">
        <v>1675</v>
      </c>
      <c r="D68" s="8" t="s">
        <v>1673</v>
      </c>
      <c r="E68" s="6"/>
      <c r="F68" s="9"/>
      <c r="G68" s="8"/>
      <c r="H68" s="6"/>
      <c r="I68" s="6"/>
      <c r="J68" s="6"/>
      <c r="K68" s="6"/>
    </row>
  </sheetData>
  <hyperlinks>
    <hyperlink ref="F20" r:id="rId1" display="test@gmail.com"/>
    <hyperlink ref="F22" r:id="rId2" display="mike@gmail.com"/>
    <hyperlink ref="F10" r:id="rId1" display="test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Version</vt:lpstr>
      <vt:lpstr>Todo List</vt:lpstr>
      <vt:lpstr>Defect</vt:lpstr>
      <vt:lpstr>RTM</vt:lpstr>
      <vt:lpstr>Scenario</vt:lpstr>
      <vt:lpstr>UserAccountAccess&amp;Validation</vt:lpstr>
      <vt:lpstr>UserFeature</vt:lpstr>
      <vt:lpstr>Search</vt:lpstr>
      <vt:lpstr>Product Comparison</vt:lpstr>
      <vt:lpstr>HomePage</vt:lpstr>
      <vt:lpstr>Top Menu</vt:lpstr>
      <vt:lpstr>Header</vt:lpstr>
      <vt:lpstr>Footer</vt:lpstr>
      <vt:lpstr>Product Pages</vt:lpstr>
      <vt:lpstr>Shopping Cart page</vt:lpstr>
      <vt:lpstr>AddToCart</vt:lpstr>
      <vt:lpstr>WishList</vt:lpstr>
      <vt:lpstr>Currency</vt:lpstr>
      <vt:lpstr>Checkout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Winner</dc:creator>
  <cp:lastModifiedBy>Winner</cp:lastModifiedBy>
  <dcterms:created xsi:type="dcterms:W3CDTF">2026-04-01T08:10:00Z</dcterms:created>
  <dcterms:modified xsi:type="dcterms:W3CDTF">2026-04-24T09:39:12Z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017626F78BCA4CFE88713511D32DB904_11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