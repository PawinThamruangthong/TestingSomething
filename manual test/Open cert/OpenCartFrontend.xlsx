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1580" firstSheet="1" activeTab="1"/>
  </bookViews>
  <sheets>
    <sheet name="Version" sheetId="10" r:id="rId1"/>
    <sheet name="Scenario" sheetId="1" r:id="rId2"/>
    <sheet name="UserAccountAccess&amp;Validation" sheetId="5" r:id="rId3"/>
    <sheet name="Userfeature" sheetId="12" r:id="rId4"/>
    <sheet name="HomePage" sheetId="3" r:id="rId5"/>
    <sheet name="Top Menu" sheetId="6" r:id="rId6"/>
    <sheet name="Header" sheetId="4" r:id="rId7"/>
    <sheet name="Footer" sheetId="7" r:id="rId8"/>
    <sheet name="Product Pages" sheetId="8" r:id="rId9"/>
    <sheet name="Shopping Cart page" sheetId="11" r:id="rId10"/>
    <sheet name="Currency" sheetId="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<sst xmlns="http://schemas.openxmlformats.org/spreadsheetml/2006/main" count="1057" uniqueCount="669">
  <si>
    <t>Version</t>
  </si>
  <si>
    <t>Detail</t>
  </si>
  <si>
    <t>Create test scenario &amp; test case from FRS only.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</si>
  <si>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</si>
  <si>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</si>
  <si>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</si>
  <si>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</si>
  <si>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</si>
  <si>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</si>
  <si>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Status :</t>
  </si>
  <si>
    <t>working</t>
  </si>
  <si>
    <t>complete</t>
  </si>
  <si>
    <t>Test Scenario ID</t>
  </si>
  <si>
    <t>Reference</t>
  </si>
  <si>
    <t>Test Scenario Description</t>
  </si>
  <si>
    <t>Priority</t>
  </si>
  <si>
    <t>Number of Test Cases</t>
  </si>
  <si>
    <t>defect</t>
  </si>
  <si>
    <t>Note</t>
  </si>
  <si>
    <t>TS001</t>
  </si>
  <si>
    <t>-</t>
  </si>
  <si>
    <t>Validate the working of 'Register an account' functionality</t>
  </si>
  <si>
    <t>Not in FRS</t>
  </si>
  <si>
    <t>TS002</t>
  </si>
  <si>
    <t>Validate the working of 'Login' functionality</t>
  </si>
  <si>
    <t>TS003</t>
  </si>
  <si>
    <t>Validate the working of 'Logout' functionality</t>
  </si>
  <si>
    <t>Not in FRS / Still not testable in this current verion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</si>
  <si>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</si>
  <si>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</si>
  <si>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</si>
  <si>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</si>
  <si>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</si>
  <si>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</si>
  <si>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</si>
  <si>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</si>
  <si>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</si>
  <si>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</si>
  <si>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</si>
  <si>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</si>
  <si>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</si>
  <si>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</si>
  <si>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</si>
  <si>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</si>
  <si>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</si>
  <si>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</si>
  <si>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</si>
  <si>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</si>
  <si>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</si>
  <si>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</si>
  <si>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</si>
  <si>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</si>
  <si>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</si>
  <si>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</si>
  <si>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</si>
  <si>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</si>
  <si>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</si>
  <si>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</si>
  <si>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</si>
  <si>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</si>
  <si>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</si>
  <si>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</si>
  <si>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</si>
  <si>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</si>
  <si>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</si>
  <si>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</si>
  <si>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</si>
  <si>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</si>
  <si>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</si>
  <si>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</si>
  <si>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</si>
  <si>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</si>
  <si>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</si>
  <si>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</si>
  <si>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</si>
  <si>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</si>
  <si>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</si>
  <si>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</si>
  <si>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</si>
  <si>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</si>
  <si>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</si>
  <si>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</si>
  <si>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</si>
  <si>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</si>
  <si>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</si>
  <si>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TS032</t>
  </si>
  <si>
    <t>Validate the working of 'Top 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</si>
  <si>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</si>
  <si>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</si>
  <si>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</si>
  <si>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</si>
  <si>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</si>
  <si>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</si>
  <si>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</si>
  <si>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</si>
  <si>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</si>
  <si>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</si>
  <si>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</si>
  <si>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</si>
  <si>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</si>
  <si>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</si>
  <si>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</si>
  <si>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TC_ACC_001</t>
  </si>
  <si>
    <t>Validate login - default</t>
  </si>
  <si>
    <t>TC_ACC_002</t>
  </si>
  <si>
    <t>Validate Login - email valid</t>
  </si>
  <si>
    <t>TC_ACC_003</t>
  </si>
  <si>
    <t>Validate Login - email format</t>
  </si>
  <si>
    <t>TC_ACC_004</t>
  </si>
  <si>
    <t>Validate Login - email boundary - below</t>
  </si>
  <si>
    <t>TC_ACC_005</t>
  </si>
  <si>
    <t>Validate Login - email boundary - above</t>
  </si>
  <si>
    <t>TC_ACC_006</t>
  </si>
  <si>
    <t>Validate Login - password valid</t>
  </si>
  <si>
    <t>TC_ACC_007</t>
  </si>
  <si>
    <t>Validate Login - password invalid</t>
  </si>
  <si>
    <t>TC_ACC_008</t>
  </si>
  <si>
    <t>Validate Login - password boundary - below</t>
  </si>
  <si>
    <t>TC_ACC_009</t>
  </si>
  <si>
    <t>Validate Login - password boundary - above</t>
  </si>
  <si>
    <t>TC_ACC_010</t>
  </si>
  <si>
    <t>Validate Login - pass</t>
  </si>
  <si>
    <t>TC_ACC_011</t>
  </si>
  <si>
    <t>Validate Login - fail</t>
  </si>
  <si>
    <t>TC_ACC_012</t>
  </si>
  <si>
    <t>Validate Login - forgot password</t>
  </si>
  <si>
    <t>TC_ACC_013</t>
  </si>
  <si>
    <t>Validate Register new Account</t>
  </si>
  <si>
    <t>TC_ACC_014</t>
  </si>
  <si>
    <t>Validate Register - default</t>
  </si>
  <si>
    <t>TC_ACC_015</t>
  </si>
  <si>
    <t>Validate Register - first name - valid</t>
  </si>
  <si>
    <t>TC_ACC_016</t>
  </si>
  <si>
    <t>Validate Register - first name - null</t>
  </si>
  <si>
    <t>TC_ACC_017</t>
  </si>
  <si>
    <t>Validate Register - first name - boundary - below</t>
  </si>
  <si>
    <t>TC_ACC_018</t>
  </si>
  <si>
    <t>Validate Register - first name - boundary - above</t>
  </si>
  <si>
    <t>TC_ACC_019</t>
  </si>
  <si>
    <t>Validate Register - last name - not support characters</t>
  </si>
  <si>
    <t>TC_ACC_020</t>
  </si>
  <si>
    <t>Validate Register - last name - valid</t>
  </si>
  <si>
    <t>TC_ACC_021</t>
  </si>
  <si>
    <t>Validate Register - last name - null</t>
  </si>
  <si>
    <t>TC_ACC_022</t>
  </si>
  <si>
    <t>Validate Register - last name - boundary - below</t>
  </si>
  <si>
    <t>TC_ACC_023</t>
  </si>
  <si>
    <t>Validate Register - last name - boundary - above</t>
  </si>
  <si>
    <t>TC_ACC_024</t>
  </si>
  <si>
    <t>TC_ACC_025</t>
  </si>
  <si>
    <t>Validate Register - email - valid</t>
  </si>
  <si>
    <t>TC_ACC_026</t>
  </si>
  <si>
    <t>Validate Register - email - null</t>
  </si>
  <si>
    <t>TC_ACC_027</t>
  </si>
  <si>
    <t>Validate Register - email - boundary - below</t>
  </si>
  <si>
    <t>TC_ACC_028</t>
  </si>
  <si>
    <t>Validate Register - email - boundary - above</t>
  </si>
  <si>
    <t>TC_ACC_029</t>
  </si>
  <si>
    <t>Validate Register - email - not support characters</t>
  </si>
  <si>
    <t>TC_ACC_030</t>
  </si>
  <si>
    <t>Validate Register - email - format</t>
  </si>
  <si>
    <t>TC_ACC_031</t>
  </si>
  <si>
    <t>Validate Register - subscribe</t>
  </si>
  <si>
    <t>TC_ACC_032</t>
  </si>
  <si>
    <t>Validate Register - policy</t>
  </si>
  <si>
    <t>TC_ACC_033</t>
  </si>
  <si>
    <t>Validate Register - success</t>
  </si>
  <si>
    <t>TC_ACC_034</t>
  </si>
  <si>
    <t>Validate user can logout</t>
  </si>
  <si>
    <t>TC_ACC_035</t>
  </si>
  <si>
    <t>Validate forgot password function</t>
  </si>
  <si>
    <t>&lt;&lt;Test Scenario</t>
  </si>
  <si>
    <t>Current status :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</si>
  <si>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</si>
  <si>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</si>
  <si>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</si>
  <si>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</si>
  <si>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</si>
  <si>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</si>
  <si>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</si>
  <si>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</si>
  <si>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</si>
  <si>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</si>
  <si>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</si>
  <si>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</si>
  <si>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</si>
  <si>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</si>
  <si>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</si>
  <si>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</si>
  <si>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</si>
  <si>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</si>
  <si>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</si>
  <si>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</si>
  <si>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</si>
  <si>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</si>
  <si>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</si>
  <si>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</si>
  <si>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</si>
  <si>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</si>
  <si>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</si>
  <si>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</si>
  <si>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</si>
  <si>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</si>
  <si>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</si>
  <si>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</si>
  <si>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</si>
  <si>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</si>
  <si>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</si>
  <si>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</si>
  <si>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</si>
  <si>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</si>
  <si>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</si>
  <si>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</si>
  <si>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</si>
  <si>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</si>
  <si>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</si>
  <si>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</si>
  <si>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</si>
  <si>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</si>
  <si>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</si>
  <si>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</si>
  <si>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</si>
  <si>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</si>
  <si>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</si>
  <si>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</si>
  <si>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</si>
  <si>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</si>
  <si>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</si>
  <si>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</si>
  <si>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</si>
  <si>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</si>
  <si>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</si>
  <si>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</si>
  <si>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</si>
  <si>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</si>
  <si>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</si>
  <si>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</si>
  <si>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</si>
  <si>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</si>
  <si>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</si>
  <si>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</si>
  <si>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</si>
  <si>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</si>
  <si>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</si>
  <si>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</si>
  <si>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</si>
  <si>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</si>
  <si>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(TS012)
Validate the working of 'Header' options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</si>
  <si>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</si>
  <si>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</si>
  <si>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</si>
  <si>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</si>
  <si>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</si>
  <si>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</si>
  <si>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</si>
  <si>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</si>
  <si>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</si>
  <si>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</si>
  <si>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</si>
  <si>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</si>
  <si>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</si>
  <si>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</si>
  <si>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</si>
  <si>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</si>
  <si>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</si>
  <si>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</si>
  <si>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</si>
  <si>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</si>
  <si>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</si>
  <si>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</si>
  <si>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</si>
  <si>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</si>
  <si>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</si>
  <si>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</si>
  <si>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</si>
  <si>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</si>
  <si>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</si>
  <si>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</si>
  <si>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</si>
  <si>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</si>
  <si>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</si>
  <si>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</si>
  <si>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</si>
  <si>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</si>
  <si>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</si>
  <si>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</si>
  <si>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</si>
  <si>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</si>
  <si>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</si>
  <si>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</si>
  <si>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</si>
  <si>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</si>
  <si>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</si>
  <si>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</si>
  <si>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</si>
  <si>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</si>
  <si>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</si>
  <si>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</si>
  <si>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</si>
  <si>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</si>
  <si>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</si>
  <si>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</si>
  <si>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</si>
  <si>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</si>
  <si>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</si>
  <si>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</si>
  <si>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</si>
  <si>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</si>
  <si>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</si>
  <si>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</si>
  <si>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</si>
  <si>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</si>
  <si>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</si>
  <si>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</si>
  <si>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</si>
  <si>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</si>
  <si>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</si>
  <si>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</si>
  <si>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</si>
  <si>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</si>
  <si>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</si>
  <si>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</si>
  <si>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</si>
  <si>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</si>
  <si>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</si>
  <si>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</si>
  <si>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</si>
  <si>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</si>
  <si>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</si>
  <si>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(TS-034)
Validate the working of 'Footer' options' functionality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</si>
  <si>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</si>
  <si>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</si>
  <si>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</si>
  <si>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</si>
  <si>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</si>
  <si>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</si>
  <si>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</si>
  <si>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</si>
  <si>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</si>
  <si>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</si>
  <si>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</si>
  <si>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</si>
  <si>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</si>
  <si>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</si>
  <si>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</si>
  <si>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</si>
  <si>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(TS-035)
Validate the working of 'Footer' options' functionality</t>
  </si>
  <si>
    <t>Validate footer link ' Returns'</t>
  </si>
  <si>
    <t>TC_FT_008</t>
  </si>
  <si>
    <t>(TS-036)
Validate the working of 'Footer' options' functionality</t>
  </si>
  <si>
    <t>Validate footer link 'Site Map'</t>
  </si>
  <si>
    <t>TC_FT_009</t>
  </si>
  <si>
    <t>(TS-037)
Validate the working of 'Footer' options' functionality</t>
  </si>
  <si>
    <t>Validate footer link 'Brands'</t>
  </si>
  <si>
    <t>TC_FT_010</t>
  </si>
  <si>
    <t>(TS-038)
Validate the working of 'Footer' options' functionality</t>
  </si>
  <si>
    <t>Validate footer link 'Gift Voucher'</t>
  </si>
  <si>
    <t>TC_FT_011</t>
  </si>
  <si>
    <t>(TS-039)
Validate the working of 'Footer' options' functionality</t>
  </si>
  <si>
    <t>Validate footer link 'Affiliates'</t>
  </si>
  <si>
    <t>TC_FT_012</t>
  </si>
  <si>
    <t>(TS-040)
Validate the working of 'Footer' options' functionality</t>
  </si>
  <si>
    <t>Validate footer link 'Specials'</t>
  </si>
  <si>
    <t>TC_FT_013</t>
  </si>
  <si>
    <t>(TS-041)
Validate the working of 'Footer' options' functionality</t>
  </si>
  <si>
    <t>Validate footer link 'My Account'</t>
  </si>
  <si>
    <t>TC_FT_014</t>
  </si>
  <si>
    <t>(TS-042)
Validate the working of 'Footer' options' functionality</t>
  </si>
  <si>
    <t>Validate footer link 'Order History'</t>
  </si>
  <si>
    <t>TC_FT_015</t>
  </si>
  <si>
    <t>(TS-043)
Validate the working of 'Footer' options' functionality</t>
  </si>
  <si>
    <t>Validate footer link 'Wish List'</t>
  </si>
  <si>
    <t>TC_FT_016</t>
  </si>
  <si>
    <t>(TS-044)
Validate the working of 'Footer' options' functionality</t>
  </si>
  <si>
    <t>Validate footer link 'Newletter'</t>
  </si>
  <si>
    <t>TC_PP_001</t>
  </si>
  <si>
    <t xml:space="preserve">(TS_007)
Validate the working of 'Product page' functionality
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</si>
  <si>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</si>
  <si>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</si>
  <si>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</si>
  <si>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</si>
  <si>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</si>
  <si>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</si>
  <si>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</si>
  <si>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</si>
  <si>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</si>
  <si>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</si>
  <si>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</si>
  <si>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</si>
  <si>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</si>
  <si>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</si>
  <si>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</si>
  <si>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</si>
  <si>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</si>
  <si>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</si>
  <si>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</si>
  <si>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</si>
  <si>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</si>
  <si>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</si>
  <si>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</si>
  <si>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</si>
  <si>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</si>
  <si>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</si>
  <si>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</si>
  <si>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</si>
  <si>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</si>
  <si>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</si>
  <si>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</si>
  <si>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</si>
  <si>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</si>
  <si>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</si>
  <si>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</si>
  <si>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</si>
  <si>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</si>
  <si>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</si>
  <si>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</si>
  <si>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</si>
  <si>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</si>
  <si>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</si>
  <si>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</si>
  <si>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</si>
  <si>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</si>
  <si>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</si>
  <si>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</si>
  <si>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</si>
  <si>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</si>
  <si>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</si>
  <si>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</si>
  <si>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</si>
  <si>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</si>
  <si>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</si>
  <si>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</si>
  <si>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</si>
  <si>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</si>
  <si>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</si>
  <si>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</si>
  <si>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</si>
  <si>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</si>
  <si>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</si>
  <si>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</si>
  <si>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</si>
  <si>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</si>
  <si>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</si>
  <si>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</si>
  <si>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</si>
  <si>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</si>
  <si>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</si>
  <si>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</si>
  <si>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</si>
  <si>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</si>
  <si>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</si>
  <si>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</si>
  <si>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</si>
  <si>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</si>
  <si>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</si>
  <si>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</si>
  <si>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</si>
  <si>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</si>
  <si>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</si>
  <si>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</si>
  <si>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</si>
  <si>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</si>
  <si>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</si>
  <si>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</si>
  <si>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</si>
  <si>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</si>
  <si>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</si>
  <si>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</si>
  <si>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</si>
  <si>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</si>
  <si>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</si>
  <si>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</si>
  <si>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</si>
  <si>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</si>
  <si>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</si>
  <si>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</si>
  <si>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</si>
  <si>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</si>
  <si>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</si>
  <si>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</si>
  <si>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</si>
  <si>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</si>
  <si>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</si>
  <si>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</si>
  <si>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</si>
  <si>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</si>
  <si>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</si>
  <si>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</si>
  <si>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</si>
  <si>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</si>
  <si>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</si>
  <si>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</si>
  <si>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</si>
  <si>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Defect</t>
  </si>
  <si>
    <t>FRS do not specify how to enter compare product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</si>
  <si>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</si>
  <si>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</si>
  <si>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</si>
  <si>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</si>
  <si>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</si>
  <si>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</si>
  <si>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</si>
  <si>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</si>
  <si>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</si>
  <si>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</si>
  <si>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</si>
  <si>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</si>
  <si>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</si>
  <si>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</si>
  <si>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</si>
  <si>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</si>
  <si>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</si>
  <si>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</si>
  <si>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</si>
  <si>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</si>
  <si>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</si>
  <si>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</si>
  <si>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</si>
  <si>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</si>
  <si>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</si>
  <si>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</si>
  <si>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</si>
  <si>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</si>
  <si>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</si>
  <si>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</si>
  <si>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</si>
  <si>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</si>
  <si>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</si>
  <si>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accpet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</si>
  <si>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</si>
  <si>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</si>
  <si>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</si>
  <si>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</si>
  <si>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</si>
  <si>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</si>
  <si>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</si>
  <si>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</si>
  <si>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</si>
  <si>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</si>
  <si>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</si>
  <si>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</si>
  <si>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</si>
  <si>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</si>
  <si>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</si>
  <si>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</si>
  <si>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</si>
  <si>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</si>
  <si>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</si>
  <si>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</si>
  <si>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</si>
  <si>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</si>
  <si>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</si>
  <si>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</si>
  <si>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</si>
  <si>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</si>
  <si>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</si>
  <si>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</si>
  <si>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</si>
  <si>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</si>
  <si>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</si>
  <si>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</si>
  <si>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accpet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</si>
  <si>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</si>
  <si>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</si>
  <si>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</si>
  <si>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</si>
  <si>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</si>
  <si>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</si>
  <si>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</si>
  <si>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</si>
  <si>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</si>
  <si>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(TS010) 
Validate the working of 'Shopping Cart' functionality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</si>
  <si>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</si>
  <si>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</si>
  <si>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</si>
  <si>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</si>
  <si>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</si>
  <si>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</si>
  <si>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</si>
  <si>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</si>
  <si>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</si>
  <si>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</si>
  <si>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</si>
  <si>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</si>
  <si>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</si>
  <si>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</si>
  <si>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</si>
  <si>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</si>
  <si>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</si>
  <si>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</si>
  <si>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</si>
  <si>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</si>
  <si>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</si>
  <si>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</si>
  <si>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</si>
  <si>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</si>
  <si>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</si>
  <si>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</si>
  <si>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</si>
  <si>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</si>
  <si>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</si>
  <si>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</si>
  <si>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</si>
  <si>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</si>
  <si>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</si>
  <si>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</si>
  <si>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</si>
  <si>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</si>
  <si>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</si>
  <si>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</si>
  <si>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</si>
  <si>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</si>
  <si>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</si>
  <si>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</si>
  <si>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</si>
  <si>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</si>
  <si>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</si>
  <si>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</si>
  <si>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</si>
  <si>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</si>
  <si>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</si>
  <si>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</si>
  <si>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</si>
  <si>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</si>
  <si>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</si>
  <si>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</si>
  <si>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</si>
  <si>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</si>
  <si>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</si>
  <si>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</si>
  <si>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</si>
  <si>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</si>
  <si>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</si>
  <si>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</si>
  <si>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</si>
  <si>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</si>
  <si>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</si>
  <si>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</si>
  <si>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</si>
  <si>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accpet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</si>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</sst>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7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sz val="11"/>
      <name val="TH Sarabun PSK"/>
      <charset val="134"/>
      <scheme val="major"/>
    </font>
    <font>
      <sz val="11"/>
      <name val="Microsoft Yahei"/>
      <charset val="134"/>
    </font>
    <font>
      <b/>
      <sz val="11"/>
      <color theme="1"/>
      <name val="TH Sarabun PSK"/>
      <charset val="134"/>
      <scheme val="minor"/>
    </font>
    <font>
      <sz val="1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u/>
      <sz val="14"/>
      <color rgb="FF0000FF"/>
      <name val="TH Sarabun PSK"/>
      <charset val="0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6" applyFo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6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6" applyFont="1" applyAlignment="1">
      <alignment vertical="center" wrapText="1"/>
    </xf>
    <xf numFmtId="0" fontId="4" fillId="0" borderId="0" xfId="6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" fillId="0" borderId="0" xfId="6" applyFont="1" applyAlignment="1">
      <alignment horizontal="left" vertical="center"/>
    </xf>
    <xf numFmtId="0" fontId="7" fillId="0" borderId="0" xfId="0" applyFont="1">
      <alignment vertical="center"/>
    </xf>
    <xf numFmtId="0" fontId="8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Fill="1" applyBorder="1">
      <alignment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C10"/>
  <sheetViews>
    <sheetView workbookViewId="0">
      <selection activeCell="C4" sqref="C4"/>
    </sheetView>
  </sheetViews>
  <sheetFormatPr defaultColWidth="9" defaultRowHeight="14.25" outlineLevelCol="2"/>
  <cols>
    <col min="2" max="2" width="13.5" customWidth="1"/>
    <col min="3" max="3" width="46.875" customWidth="1"/>
  </cols>
  <sheetData>
    <row r="3" ht="15" spans="2:3">
      <c r="B3" s="61" t="s">
        <v>0</v>
      </c>
      <c r="C3" s="61" t="s">
        <v>1</v>
      </c>
    </row>
    <row r="4" ht="15" spans="2:3">
      <c r="B4" s="61">
        <v>1</v>
      </c>
      <c r="C4" s="61" t="s">
        <v>2</v>
      </c>
    </row>
    <row r="5" ht="15" spans="2:3">
      <c r="B5" s="61">
        <v>2</v>
      </c>
      <c r="C5" s="61"/>
    </row>
    <row r="6" ht="15" spans="2:3">
      <c r="B6" s="61"/>
      <c r="C6" s="61"/>
    </row>
    <row r="7" ht="15" spans="2:3">
      <c r="B7" s="61"/>
      <c r="C7" s="61"/>
    </row>
    <row r="8" ht="15" spans="2:3">
      <c r="B8" s="61"/>
      <c r="C8" s="61"/>
    </row>
    <row r="9" ht="15" spans="2:3">
      <c r="B9" s="61"/>
      <c r="C9" s="61"/>
    </row>
    <row r="10" ht="15" spans="2:3">
      <c r="B10" s="61"/>
      <c r="C10" s="6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zoomScale="115" zoomScaleNormal="115" topLeftCell="A3" workbookViewId="0">
      <selection activeCell="H17" sqref="H17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0.375" customWidth="1"/>
    <col min="5" max="5" width="21" style="1" customWidth="1"/>
    <col min="6" max="6" width="14.5583333333333" customWidth="1"/>
    <col min="7" max="7" width="48.625" customWidth="1"/>
    <col min="9" max="9" width="69.75" customWidth="1"/>
  </cols>
  <sheetData>
    <row r="1" spans="1:10">
      <c r="A1" t="s">
        <v>3</v>
      </c>
    </row>
    <row r="2" ht="18" spans="1:10">
      <c r="A2" t="s">
        <v>4</v>
      </c>
      <c r="B2" s="49" t="s">
        <v>5</v>
      </c>
      <c r="C2" s="18"/>
      <c r="D2" s="18"/>
      <c r="F2" s="18"/>
      <c r="G2" s="18"/>
      <c r="I2" s="50"/>
      <c r="J2" s="50"/>
    </row>
    <row r="3" ht="18" spans="1:10">
      <c r="A3" t="s">
        <v>6</v>
      </c>
      <c r="B3" s="49" t="s">
        <v>7</v>
      </c>
      <c r="C3" s="18"/>
      <c r="D3" s="18"/>
      <c r="F3" s="18"/>
      <c r="G3" s="18"/>
    </row>
    <row r="4" spans="1:10">
      <c r="B4" t="s">
        <v>8</v>
      </c>
      <c r="D4" t="s">
        <v>9</v>
      </c>
      <c r="E4" s="51" t="s">
        <v>10</v>
      </c>
    </row>
    <row r="5" spans="1:10">
      <c r="E5" s="52" t="s">
        <v>11</v>
      </c>
    </row>
    <row r="6" spans="1:10">
      <c r="A6" s="53" t="s">
        <v>12</v>
      </c>
      <c r="B6" s="53" t="s">
        <v>13</v>
      </c>
      <c r="C6" s="53" t="s">
        <v>14</v>
      </c>
      <c r="D6" s="53" t="s">
        <v>15</v>
      </c>
      <c r="E6" s="53" t="s">
        <v>16</v>
      </c>
      <c r="F6" s="53" t="s">
        <v>17</v>
      </c>
      <c r="G6" s="53" t="s">
        <v>18</v>
      </c>
    </row>
    <row r="7" ht="18" spans="1:10">
      <c r="A7" s="30" t="s">
        <v>19</v>
      </c>
      <c r="B7" s="12" t="s">
        <v>20</v>
      </c>
      <c r="C7" s="39" t="s">
        <v>21</v>
      </c>
      <c r="D7" s="12"/>
      <c r="E7" s="31">
        <f>COUNTIF('UserAccountAccess&amp;Validation'!B:B,"*TS001*")</f>
        <v>21</v>
      </c>
      <c r="F7" s="12"/>
      <c r="G7" s="12" t="s">
        <v>22</v>
      </c>
    </row>
    <row r="8" ht="18" spans="1:10">
      <c r="A8" s="30" t="s">
        <v>23</v>
      </c>
      <c r="B8" s="12" t="s">
        <v>20</v>
      </c>
      <c r="C8" s="39" t="s">
        <v>24</v>
      </c>
      <c r="D8" s="12"/>
      <c r="E8" s="31">
        <f>COUNTIF('UserAccountAccess&amp;Validation'!B:B,"*TS002*")</f>
        <v>12</v>
      </c>
      <c r="F8" s="12"/>
      <c r="G8" s="12" t="s">
        <v>22</v>
      </c>
    </row>
    <row r="9" spans="1:10">
      <c r="A9" s="12" t="s">
        <v>25</v>
      </c>
      <c r="B9" s="12" t="s">
        <v>20</v>
      </c>
      <c r="C9" s="39" t="s">
        <v>26</v>
      </c>
      <c r="D9" s="12"/>
      <c r="E9" s="31">
        <f>COUNTIF('UserAccountAccess&amp;Validation'!B:B,"*TS003*")</f>
        <v>1</v>
      </c>
      <c r="F9" s="12"/>
      <c r="G9" s="12" t="s">
        <v>27</v>
      </c>
    </row>
    <row r="10" spans="1:10">
      <c r="A10" s="12" t="s">
        <v>28</v>
      </c>
      <c r="B10" s="12" t="s">
        <v>20</v>
      </c>
      <c r="C10" s="39" t="s">
        <v>29</v>
      </c>
      <c r="D10" s="12"/>
      <c r="E10" s="31">
        <f>COUNTIF('UserAccountAccess&amp;Validation'!B:B,"*TS004*")</f>
        <v>1</v>
      </c>
      <c r="F10" s="12"/>
      <c r="G10" s="12" t="s">
        <v>22</v>
      </c>
    </row>
    <row r="11" spans="1:10">
      <c r="A11" s="12" t="s">
        <v>30</v>
      </c>
      <c r="B11" s="12" t="s">
        <v>31</v>
      </c>
      <c r="C11" s="39" t="s">
        <v>32</v>
      </c>
      <c r="D11" s="12"/>
      <c r="E11" s="31"/>
      <c r="F11" s="12"/>
      <c r="G11" s="12"/>
    </row>
    <row r="12" spans="1:10">
      <c r="A12" s="12" t="s">
        <v>33</v>
      </c>
      <c r="B12" s="12" t="s">
        <v>31</v>
      </c>
      <c r="C12" s="39" t="s">
        <v>34</v>
      </c>
      <c r="D12" s="12"/>
      <c r="E12" s="31"/>
      <c r="F12" s="12"/>
      <c r="G12" s="12"/>
    </row>
    <row r="13" ht="18" spans="1:10">
      <c r="A13" s="30" t="s">
        <v>35</v>
      </c>
      <c r="B13" s="12" t="s">
        <v>31</v>
      </c>
      <c r="C13" s="54" t="s">
        <v>36</v>
      </c>
      <c r="D13" s="54"/>
      <c r="E13" s="55">
        <f>COUNTA('Product Pages'!A3:A202)</f>
        <v>30</v>
      </c>
      <c r="F13" s="12">
        <f>COUNTIF('Product Pages'!J3:J9999,"Defect")</f>
        <v>1</v>
      </c>
      <c r="G13" s="12"/>
    </row>
    <row r="14" spans="1:10">
      <c r="A14" s="12" t="s">
        <v>37</v>
      </c>
      <c r="B14" s="12" t="s">
        <v>31</v>
      </c>
      <c r="C14" s="39" t="s">
        <v>38</v>
      </c>
      <c r="D14" s="12"/>
      <c r="E14" s="31"/>
      <c r="F14" s="12"/>
      <c r="G14" s="12"/>
    </row>
    <row r="15" spans="1:10">
      <c r="A15" s="12" t="s">
        <v>39</v>
      </c>
      <c r="B15" s="12" t="s">
        <v>31</v>
      </c>
      <c r="C15" s="39" t="s">
        <v>40</v>
      </c>
      <c r="D15" s="12"/>
      <c r="E15" s="31"/>
      <c r="F15" s="12"/>
      <c r="G15" s="12"/>
    </row>
    <row r="16" spans="1:10">
      <c r="A16" s="12" t="s">
        <v>41</v>
      </c>
      <c r="B16" s="12" t="s">
        <v>31</v>
      </c>
      <c r="C16" s="39" t="s">
        <v>42</v>
      </c>
      <c r="D16" s="12"/>
      <c r="E16" s="31"/>
      <c r="F16" s="12"/>
      <c r="G16" s="12"/>
    </row>
    <row r="17" spans="1:7">
      <c r="A17" s="12" t="s">
        <v>43</v>
      </c>
      <c r="B17" s="12" t="s">
        <v>31</v>
      </c>
      <c r="C17" s="39" t="s">
        <v>44</v>
      </c>
      <c r="D17" s="12"/>
      <c r="E17" s="31">
        <f>COUNTA('Shopping Cart page'!A1:A1008)</f>
        <v>36</v>
      </c>
      <c r="F17" s="12"/>
      <c r="G17" s="12"/>
    </row>
    <row r="18" customFormat="1" spans="1:7">
      <c r="A18" s="12" t="s">
        <v>45</v>
      </c>
      <c r="B18" s="56" t="s">
        <v>31</v>
      </c>
      <c r="C18" s="57" t="s">
        <v>46</v>
      </c>
      <c r="D18" s="58"/>
      <c r="E18" s="58">
        <f>COUNTA(HomePage!A3:A9998)</f>
        <v>11</v>
      </c>
      <c r="F18" s="12">
        <f>COUNTIF(HomePage!J3:J9999,"Defect")</f>
        <v>0</v>
      </c>
      <c r="G18" s="12"/>
    </row>
    <row r="19" spans="1:7">
      <c r="A19" s="12" t="s">
        <v>47</v>
      </c>
      <c r="B19" s="12" t="s">
        <v>31</v>
      </c>
      <c r="C19" s="39" t="s">
        <v>48</v>
      </c>
      <c r="D19" s="12"/>
      <c r="E19" s="31"/>
      <c r="F19" s="12"/>
      <c r="G19" s="12"/>
    </row>
    <row r="20" spans="1:7">
      <c r="A20" s="12" t="s">
        <v>49</v>
      </c>
      <c r="B20" s="12" t="s">
        <v>31</v>
      </c>
      <c r="C20" s="39" t="s">
        <v>50</v>
      </c>
      <c r="D20" s="12"/>
      <c r="E20" s="31"/>
      <c r="F20" s="12"/>
      <c r="G20" s="12"/>
    </row>
    <row r="21" spans="1:7">
      <c r="A21" s="12" t="s">
        <v>51</v>
      </c>
      <c r="B21" s="12" t="s">
        <v>31</v>
      </c>
      <c r="C21" s="39" t="s">
        <v>52</v>
      </c>
      <c r="D21" s="12"/>
      <c r="E21" s="31"/>
      <c r="F21" s="12"/>
      <c r="G21" s="12"/>
    </row>
    <row r="22" spans="1:7">
      <c r="A22" s="12" t="s">
        <v>53</v>
      </c>
      <c r="B22" s="12" t="s">
        <v>31</v>
      </c>
      <c r="C22" s="39" t="s">
        <v>54</v>
      </c>
      <c r="D22" s="12"/>
      <c r="E22" s="31"/>
      <c r="F22" s="12"/>
      <c r="G22" s="12"/>
    </row>
    <row r="23" spans="1:7">
      <c r="A23" s="12" t="s">
        <v>55</v>
      </c>
      <c r="B23" s="12" t="s">
        <v>31</v>
      </c>
      <c r="C23" s="39" t="s">
        <v>56</v>
      </c>
      <c r="D23" s="12"/>
      <c r="E23" s="31"/>
      <c r="F23" s="12"/>
      <c r="G23" s="12"/>
    </row>
    <row r="24" spans="1:7">
      <c r="A24" s="12" t="s">
        <v>57</v>
      </c>
      <c r="B24" s="12" t="s">
        <v>31</v>
      </c>
      <c r="C24" s="39" t="s">
        <v>58</v>
      </c>
      <c r="D24" s="12"/>
      <c r="E24" s="31"/>
      <c r="F24" s="12"/>
      <c r="G24" s="12"/>
    </row>
    <row r="25" spans="1:7">
      <c r="A25" s="12" t="s">
        <v>59</v>
      </c>
      <c r="B25" s="12" t="s">
        <v>31</v>
      </c>
      <c r="C25" s="39" t="s">
        <v>60</v>
      </c>
      <c r="D25" s="12"/>
      <c r="E25" s="31"/>
      <c r="F25" s="12"/>
      <c r="G25" s="12"/>
    </row>
    <row r="26" spans="1:7">
      <c r="A26" s="12" t="s">
        <v>61</v>
      </c>
      <c r="B26" s="12" t="s">
        <v>31</v>
      </c>
      <c r="C26" s="39" t="s">
        <v>62</v>
      </c>
      <c r="D26" s="12"/>
      <c r="E26" s="31"/>
      <c r="F26" s="12"/>
      <c r="G26" s="12"/>
    </row>
    <row r="27" spans="1:7">
      <c r="A27" s="12" t="s">
        <v>63</v>
      </c>
      <c r="B27" s="12" t="s">
        <v>31</v>
      </c>
      <c r="C27" s="39" t="s">
        <v>64</v>
      </c>
      <c r="D27" s="12"/>
      <c r="E27" s="31"/>
      <c r="F27" s="12"/>
      <c r="G27" s="12"/>
    </row>
    <row r="28" spans="1:7">
      <c r="A28" s="12" t="s">
        <v>65</v>
      </c>
      <c r="B28" s="12" t="s">
        <v>31</v>
      </c>
      <c r="C28" s="39" t="s">
        <v>66</v>
      </c>
      <c r="D28" s="12"/>
      <c r="E28" s="31"/>
      <c r="F28" s="12"/>
      <c r="G28" s="12"/>
    </row>
    <row r="29" spans="1:7">
      <c r="A29" s="12" t="s">
        <v>67</v>
      </c>
      <c r="B29" s="12" t="s">
        <v>31</v>
      </c>
      <c r="C29" s="39" t="s">
        <v>68</v>
      </c>
      <c r="D29" s="12"/>
      <c r="E29" s="31"/>
      <c r="F29" s="12"/>
      <c r="G29" s="12"/>
    </row>
    <row r="30" spans="1:7">
      <c r="A30" s="12" t="s">
        <v>69</v>
      </c>
      <c r="B30" s="12" t="s">
        <v>31</v>
      </c>
      <c r="C30" s="39" t="s">
        <v>70</v>
      </c>
      <c r="D30" s="12"/>
      <c r="E30" s="31"/>
      <c r="F30" s="12"/>
      <c r="G30" s="12"/>
    </row>
    <row r="31" spans="1:7">
      <c r="A31" s="12" t="s">
        <v>71</v>
      </c>
      <c r="B31" s="12" t="s">
        <v>31</v>
      </c>
      <c r="C31" s="39" t="s">
        <v>72</v>
      </c>
      <c r="D31" s="12"/>
      <c r="E31" s="31"/>
      <c r="F31" s="12"/>
      <c r="G31" s="12"/>
    </row>
    <row r="32" spans="1:7">
      <c r="A32" s="12" t="s">
        <v>73</v>
      </c>
      <c r="B32" s="12" t="s">
        <v>31</v>
      </c>
      <c r="C32" s="56" t="s">
        <v>74</v>
      </c>
      <c r="D32" s="12"/>
      <c r="E32" s="31"/>
      <c r="F32" s="12"/>
      <c r="G32" s="12"/>
    </row>
    <row r="33" spans="1:7">
      <c r="A33" s="12" t="s">
        <v>75</v>
      </c>
      <c r="B33" s="12" t="s">
        <v>31</v>
      </c>
      <c r="C33" s="56" t="s">
        <v>76</v>
      </c>
      <c r="D33" s="12"/>
      <c r="E33" s="31"/>
      <c r="F33" s="12"/>
      <c r="G33" s="12"/>
    </row>
    <row r="34" spans="1:7">
      <c r="A34" s="12" t="s">
        <v>77</v>
      </c>
      <c r="B34" s="12" t="s">
        <v>31</v>
      </c>
      <c r="C34" s="56" t="s">
        <v>78</v>
      </c>
      <c r="D34" s="12"/>
      <c r="E34" s="31"/>
      <c r="F34" s="12"/>
      <c r="G34" s="12"/>
    </row>
    <row r="35" spans="1:7">
      <c r="A35" s="12" t="s">
        <v>79</v>
      </c>
      <c r="B35" s="12" t="s">
        <v>31</v>
      </c>
      <c r="C35" s="56" t="s">
        <v>80</v>
      </c>
      <c r="D35" s="12"/>
      <c r="E35" s="31"/>
      <c r="F35" s="12"/>
      <c r="G35" s="12"/>
    </row>
    <row r="36" spans="1:7">
      <c r="A36" s="12" t="s">
        <v>81</v>
      </c>
      <c r="B36" s="12" t="s">
        <v>31</v>
      </c>
      <c r="C36" s="39" t="s">
        <v>82</v>
      </c>
      <c r="D36" s="12"/>
      <c r="E36" s="31"/>
      <c r="F36" s="12"/>
      <c r="G36" s="12"/>
    </row>
    <row r="37" customFormat="1" spans="1:7">
      <c r="A37" s="12" t="s">
        <v>83</v>
      </c>
      <c r="B37" s="39" t="s">
        <v>31</v>
      </c>
      <c r="C37" s="57" t="s">
        <v>84</v>
      </c>
      <c r="D37" s="58"/>
      <c r="E37" s="58">
        <f>COUNTA(Header!A3:A200)</f>
        <v>19</v>
      </c>
      <c r="F37" s="12">
        <f>COUNTIF(Header!J3:J9999,"Defect")</f>
        <v>0</v>
      </c>
      <c r="G37" s="12"/>
    </row>
    <row r="38" spans="1:7">
      <c r="A38" s="12" t="s">
        <v>85</v>
      </c>
      <c r="B38" s="12" t="s">
        <v>31</v>
      </c>
      <c r="C38" s="54" t="s">
        <v>86</v>
      </c>
      <c r="D38" s="54"/>
      <c r="E38" s="55">
        <f>COUNTA('Top Menu'!A3:A201)</f>
        <v>5</v>
      </c>
      <c r="F38" s="12">
        <f>COUNTIF('Top Menu'!J3:J9999,"defect")</f>
        <v>0</v>
      </c>
      <c r="G38" s="12"/>
    </row>
    <row r="39" spans="1:7">
      <c r="A39" s="12" t="s">
        <v>87</v>
      </c>
      <c r="B39" s="12" t="s">
        <v>31</v>
      </c>
      <c r="C39" s="54" t="s">
        <v>88</v>
      </c>
      <c r="D39" s="54"/>
      <c r="E39" s="55">
        <f>COUNTA(Footer!A3:A200)</f>
        <v>16</v>
      </c>
      <c r="F39" s="12">
        <f>COUNTIF(Footer!J3:J9999,"defect")</f>
        <v>0</v>
      </c>
      <c r="G39" s="12"/>
    </row>
    <row r="40" spans="1:7">
      <c r="A40" s="12" t="s">
        <v>89</v>
      </c>
      <c r="B40" s="12" t="s">
        <v>31</v>
      </c>
      <c r="C40" s="39" t="s">
        <v>90</v>
      </c>
      <c r="D40" s="12"/>
      <c r="E40" s="31"/>
      <c r="F40" s="12"/>
      <c r="G40" s="12"/>
    </row>
    <row r="41" spans="1:7">
      <c r="A41" s="26"/>
      <c r="B41" s="26"/>
      <c r="C41" s="26"/>
      <c r="D41" s="59" t="s">
        <v>91</v>
      </c>
      <c r="E41" s="60">
        <f>SUM(E7:E40)</f>
        <v>152</v>
      </c>
    </row>
  </sheetData>
  <mergeCells count="2">
    <mergeCell ref="B2:G2"/>
    <mergeCell ref="B3:G3"/>
  </mergeCells>
  <conditionalFormatting sqref="C13:E13">
    <cfRule type="expression" dxfId="0" priority="4">
      <formula>'Product Pages'!$D$2="complete"</formula>
    </cfRule>
    <cfRule type="expression" dxfId="1" priority="3">
      <formula>'Product Pages'!$D$2="working"</formula>
    </cfRule>
  </conditionalFormatting>
  <conditionalFormatting sqref="C17:E17">
    <cfRule type="expression" dxfId="2" priority="1">
      <formula>'Shopping Cart page'!$D$2="complete"</formula>
    </cfRule>
    <cfRule type="expression" dxfId="3" priority="2">
      <formula>'Shopping Cart page'!$D$2="working"</formula>
    </cfRule>
  </conditionalFormatting>
  <conditionalFormatting sqref="C18:D18">
    <cfRule type="expression" dxfId="1" priority="18">
      <formula>HomePage!$C$2="working"</formula>
    </cfRule>
    <cfRule type="expression" dxfId="0" priority="17">
      <formula>HomePage!$C$2="complete"</formula>
    </cfRule>
  </conditionalFormatting>
  <conditionalFormatting sqref="E18">
    <cfRule type="expression" dxfId="0" priority="19">
      <formula>HomePage!$C$2="complete"</formula>
    </cfRule>
    <cfRule type="expression" dxfId="1" priority="20">
      <formula>HomePage!$C$2="working"</formula>
    </cfRule>
  </conditionalFormatting>
  <conditionalFormatting sqref="C37:D37">
    <cfRule type="expression" dxfId="0" priority="11">
      <formula>'Top Menu'!$D$2="complete"</formula>
    </cfRule>
    <cfRule type="expression" dxfId="1" priority="12">
      <formula>Header!$D$2="working"</formula>
    </cfRule>
  </conditionalFormatting>
  <conditionalFormatting sqref="E37">
    <cfRule type="expression" dxfId="0" priority="13">
      <formula>'Top Menu'!$D$2="complete"</formula>
    </cfRule>
    <cfRule type="expression" dxfId="1" priority="14">
      <formula>Header!$D$2="working"</formula>
    </cfRule>
  </conditionalFormatting>
  <conditionalFormatting sqref="C38:E38">
    <cfRule type="expression" dxfId="0" priority="15">
      <formula>'Top Menu'!$D$2="Complete"</formula>
    </cfRule>
    <cfRule type="expression" dxfId="1" priority="16">
      <formula>'Top Menu'!$D$2="Working"</formula>
    </cfRule>
  </conditionalFormatting>
  <conditionalFormatting sqref="C39:E39">
    <cfRule type="expression" dxfId="0" priority="9">
      <formula>Footer!$D$2="complete"</formula>
    </cfRule>
    <cfRule type="expression" dxfId="1" priority="10">
      <formula>Footer!$D$2="working"</formula>
    </cfRule>
  </conditionalFormatting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  <hyperlink ref="A18" location="HomePage!A1" display="TS012"/>
    <hyperlink ref="A37" location="Header!A1" display="TS031"/>
    <hyperlink ref="A38" location="'Top Menu'!A1" display="TS032"/>
    <hyperlink ref="A13" location="'Product Pages'!A1" display="TS007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workbookViewId="0">
      <selection activeCell="C37" sqref="C37"/>
    </sheetView>
  </sheetViews>
  <sheetFormatPr defaultColWidth="9" defaultRowHeight="14.25"/>
  <cols>
    <col min="1" max="1" width="13.125" customWidth="1"/>
    <col min="2" max="2" width="56.625" style="43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92</v>
      </c>
      <c r="B1" s="44" t="s">
        <v>93</v>
      </c>
      <c r="C1" s="44" t="s">
        <v>94</v>
      </c>
      <c r="D1" s="4" t="s">
        <v>95</v>
      </c>
      <c r="E1" s="44" t="s">
        <v>96</v>
      </c>
      <c r="F1" s="4" t="s">
        <v>97</v>
      </c>
      <c r="G1" s="44" t="s">
        <v>98</v>
      </c>
      <c r="H1" s="4" t="s">
        <v>99</v>
      </c>
      <c r="I1" s="4" t="s">
        <v>15</v>
      </c>
      <c r="J1" s="4" t="s">
        <v>100</v>
      </c>
      <c r="K1" s="4" t="s">
        <v>101</v>
      </c>
    </row>
    <row r="2" ht="36" spans="1:11">
      <c r="A2" t="s">
        <v>102</v>
      </c>
      <c r="B2" s="45" t="str">
        <f>_xlfn.TEXTJOIN(CHAR(10),,Scenario!A8,Scenario!C8)</f>
        <v>TS002
Validate the working of 'Login' functionality</v>
      </c>
      <c r="C2" s="29" t="s">
        <v>103</v>
      </c>
      <c r="E2" s="29"/>
    </row>
    <row r="3" ht="28.5" spans="1:11">
      <c r="A3" t="s">
        <v>104</v>
      </c>
      <c r="B3" s="46" t="str">
        <f>_xlfn.TEXTJOIN(CHAR(10),,Scenario!A8,Scenario!C8)</f>
        <v>TS002
Validate the working of 'Login' functionality</v>
      </c>
      <c r="C3" t="s">
        <v>105</v>
      </c>
      <c r="D3" s="29"/>
      <c r="E3" s="29"/>
    </row>
    <row r="4" ht="28.5" spans="1:11">
      <c r="A4" t="s">
        <v>106</v>
      </c>
      <c r="B4" s="46" t="str">
        <f>_xlfn.TEXTJOIN(CHAR(10),,Scenario!A8,Scenario!C8)</f>
        <v>TS002
Validate the working of 'Login' functionality</v>
      </c>
      <c r="C4" t="s">
        <v>107</v>
      </c>
    </row>
    <row r="5" ht="28.5" spans="1:11">
      <c r="A5" t="s">
        <v>108</v>
      </c>
      <c r="B5" s="46" t="str">
        <f>_xlfn.TEXTJOIN(CHAR(10),,Scenario!A8,Scenario!C8)</f>
        <v>TS002
Validate the working of 'Login' functionality</v>
      </c>
      <c r="C5" t="s">
        <v>109</v>
      </c>
      <c r="D5" s="29"/>
    </row>
    <row r="6" customFormat="1" ht="28.5" spans="1:11">
      <c r="A6" t="s">
        <v>110</v>
      </c>
      <c r="B6" s="46" t="str">
        <f>_xlfn.TEXTJOIN(CHAR(10),,Scenario!A8,Scenario!C8)</f>
        <v>TS002
Validate the working of 'Login' functionality</v>
      </c>
      <c r="C6" t="s">
        <v>111</v>
      </c>
      <c r="D6" s="29"/>
    </row>
    <row r="7" ht="28.5" spans="1:11">
      <c r="A7" t="s">
        <v>112</v>
      </c>
      <c r="B7" s="47" t="str">
        <f>_xlfn.TEXTJOIN(CHAR(10),,Scenario!A8,Scenario!C8)</f>
        <v>TS002
Validate the working of 'Login' functionality</v>
      </c>
      <c r="C7" t="s">
        <v>113</v>
      </c>
      <c r="D7" s="29"/>
    </row>
    <row r="8" ht="28.5" spans="1:11">
      <c r="A8" t="s">
        <v>114</v>
      </c>
      <c r="B8" s="46" t="str">
        <f>_xlfn.TEXTJOIN(CHAR(10),,Scenario!A8,Scenario!C8)</f>
        <v>TS002
Validate the working of 'Login' functionality</v>
      </c>
      <c r="C8" t="s">
        <v>115</v>
      </c>
      <c r="D8" s="29"/>
    </row>
    <row r="9" ht="28.5" spans="1:11">
      <c r="A9" t="s">
        <v>116</v>
      </c>
      <c r="B9" s="46" t="str">
        <f>_xlfn.TEXTJOIN(CHAR(10),,Scenario!A8,Scenario!C8)</f>
        <v>TS002
Validate the working of 'Login' functionality</v>
      </c>
      <c r="C9" t="s">
        <v>117</v>
      </c>
      <c r="D9" s="29"/>
    </row>
    <row r="10" ht="28.5" spans="1:11">
      <c r="A10" t="s">
        <v>118</v>
      </c>
      <c r="B10" s="46" t="str">
        <f>_xlfn.TEXTJOIN(CHAR(10),,Scenario!A8,Scenario!C8)</f>
        <v>TS002
Validate the working of 'Login' functionality</v>
      </c>
      <c r="C10" t="s">
        <v>119</v>
      </c>
      <c r="D10" s="29"/>
    </row>
    <row r="11" ht="28.5" spans="1:11">
      <c r="A11" t="s">
        <v>120</v>
      </c>
      <c r="B11" s="46" t="str">
        <f>_xlfn.TEXTJOIN(CHAR(10),,Scenario!A8,Scenario!C8)</f>
        <v>TS002
Validate the working of 'Login' functionality</v>
      </c>
      <c r="C11" t="s">
        <v>121</v>
      </c>
      <c r="D11" s="29"/>
    </row>
    <row r="12" ht="28.5" spans="1:11">
      <c r="A12" t="s">
        <v>122</v>
      </c>
      <c r="B12" s="46" t="str">
        <f>_xlfn.TEXTJOIN(CHAR(10),,Scenario!A8,Scenario!C8)</f>
        <v>TS002
Validate the working of 'Login' functionality</v>
      </c>
      <c r="C12" t="s">
        <v>123</v>
      </c>
      <c r="D12" s="29"/>
    </row>
    <row r="13" ht="28.5" spans="1:11">
      <c r="A13" t="s">
        <v>124</v>
      </c>
      <c r="B13" s="46" t="str">
        <f>_xlfn.TEXTJOIN(CHAR(10),,Scenario!A8,Scenario!C8)</f>
        <v>TS002
Validate the working of 'Login' functionality</v>
      </c>
      <c r="C13" t="s">
        <v>125</v>
      </c>
      <c r="D13" s="29"/>
    </row>
    <row r="14" ht="28.5" spans="1:11">
      <c r="A14" t="s">
        <v>126</v>
      </c>
      <c r="B14" s="46" t="str">
        <f>_xlfn.TEXTJOIN(CHAR(10),,Scenario!A7,Scenario!C7)</f>
        <v>TS001
Validate the working of 'Register an account' functionality</v>
      </c>
      <c r="C14" t="s">
        <v>127</v>
      </c>
      <c r="D14" s="29"/>
    </row>
    <row r="15" ht="28.5" spans="1:11">
      <c r="A15" t="s">
        <v>128</v>
      </c>
      <c r="B15" s="46" t="str">
        <f>_xlfn.TEXTJOIN(CHAR(10),,Scenario!A7,Scenario!C7)</f>
        <v>TS001
Validate the working of 'Register an account' functionality</v>
      </c>
      <c r="C15" t="s">
        <v>129</v>
      </c>
      <c r="D15" s="29"/>
    </row>
    <row r="16" ht="28.5" spans="1:11">
      <c r="A16" t="s">
        <v>130</v>
      </c>
      <c r="B16" s="46" t="str">
        <f>_xlfn.TEXTJOIN(CHAR(10),,Scenario!A7,Scenario!C7)</f>
        <v>TS001
Validate the working of 'Register an account' functionality</v>
      </c>
      <c r="C16" t="s">
        <v>131</v>
      </c>
      <c r="D16" s="29"/>
    </row>
    <row r="17" ht="28.5" spans="1:4">
      <c r="A17" t="s">
        <v>132</v>
      </c>
      <c r="B17" s="46" t="str">
        <f>_xlfn.TEXTJOIN(CHAR(10),,Scenario!A7,Scenario!C7)</f>
        <v>TS001
Validate the working of 'Register an account' functionality</v>
      </c>
      <c r="C17" t="s">
        <v>133</v>
      </c>
      <c r="D17" s="29"/>
    </row>
    <row r="18" ht="28.5" spans="1:4">
      <c r="A18" t="s">
        <v>134</v>
      </c>
      <c r="B18" s="46" t="str">
        <f>_xlfn.TEXTJOIN(CHAR(10),,Scenario!A7,Scenario!C7)</f>
        <v>TS001
Validate the working of 'Register an account' functionality</v>
      </c>
      <c r="C18" t="s">
        <v>135</v>
      </c>
      <c r="D18" s="29"/>
    </row>
    <row r="19" ht="28.5" spans="1:4">
      <c r="A19" t="s">
        <v>136</v>
      </c>
      <c r="B19" s="46" t="str">
        <f>_xlfn.TEXTJOIN(CHAR(10),,Scenario!A7,Scenario!C7)</f>
        <v>TS001
Validate the working of 'Register an account' functionality</v>
      </c>
      <c r="C19" t="s">
        <v>137</v>
      </c>
      <c r="D19" s="29"/>
    </row>
    <row r="20" ht="28.5" spans="1:4">
      <c r="A20" t="s">
        <v>138</v>
      </c>
      <c r="B20" s="46" t="str">
        <f>_xlfn.TEXTJOIN(CHAR(10),,Scenario!A7,Scenario!C7)</f>
        <v>TS001
Validate the working of 'Register an account' functionality</v>
      </c>
      <c r="C20" t="s">
        <v>139</v>
      </c>
      <c r="D20" s="29"/>
    </row>
    <row r="21" ht="28.5" spans="1:4">
      <c r="A21" t="s">
        <v>140</v>
      </c>
      <c r="B21" s="47" t="str">
        <f>_xlfn.TEXTJOIN(CHAR(10),,Scenario!A7,Scenario!C7)</f>
        <v>TS001
Validate the working of 'Register an account' functionality</v>
      </c>
      <c r="C21" t="s">
        <v>141</v>
      </c>
      <c r="D21" s="29"/>
    </row>
    <row r="22" ht="28.5" spans="1:4">
      <c r="A22" t="s">
        <v>142</v>
      </c>
      <c r="B22" s="47" t="str">
        <f>_xlfn.TEXTJOIN(CHAR(10),,Scenario!A7,Scenario!C7)</f>
        <v>TS001
Validate the working of 'Register an account' functionality</v>
      </c>
      <c r="C22" t="s">
        <v>143</v>
      </c>
      <c r="D22" s="29"/>
    </row>
    <row r="23" ht="28.5" spans="1:4">
      <c r="A23" t="s">
        <v>144</v>
      </c>
      <c r="B23" s="47" t="str">
        <f>_xlfn.TEXTJOIN(CHAR(10),,Scenario!A7,Scenario!C7)</f>
        <v>TS001
Validate the working of 'Register an account' functionality</v>
      </c>
      <c r="C23" t="s">
        <v>145</v>
      </c>
      <c r="D23" s="29"/>
    </row>
    <row r="24" ht="28.5" spans="1:4">
      <c r="A24" t="s">
        <v>146</v>
      </c>
      <c r="B24" s="47" t="str">
        <f>_xlfn.TEXTJOIN(CHAR(10),,Scenario!A7,Scenario!C7)</f>
        <v>TS001
Validate the working of 'Register an account' functionality</v>
      </c>
      <c r="C24" t="s">
        <v>147</v>
      </c>
      <c r="D24" s="29"/>
    </row>
    <row r="25" ht="28.5" spans="1:4">
      <c r="A25" t="s">
        <v>148</v>
      </c>
      <c r="B25" s="47" t="str">
        <f>_xlfn.TEXTJOIN(CHAR(10),,Scenario!A7,Scenario!C7)</f>
        <v>TS001
Validate the working of 'Register an account' functionality</v>
      </c>
      <c r="C25" t="s">
        <v>139</v>
      </c>
      <c r="D25" s="29"/>
    </row>
    <row r="26" ht="33" spans="1:4">
      <c r="A26" t="s">
        <v>149</v>
      </c>
      <c r="B26" s="48" t="str">
        <f>_xlfn.TEXTJOIN(CHAR(10),,Scenario!A7,Scenario!C7)</f>
        <v>TS001
Validate the working of 'Register an account' functionality</v>
      </c>
      <c r="C26" t="s">
        <v>150</v>
      </c>
      <c r="D26" s="29"/>
    </row>
    <row r="27" ht="33" spans="1:4">
      <c r="A27" t="s">
        <v>151</v>
      </c>
      <c r="B27" s="48" t="str">
        <f>_xlfn.TEXTJOIN(CHAR(10),,Scenario!A7,Scenario!C7)</f>
        <v>TS001
Validate the working of 'Register an account' functionality</v>
      </c>
      <c r="C27" t="s">
        <v>152</v>
      </c>
      <c r="D27" s="29"/>
    </row>
    <row r="28" ht="33" spans="1:4">
      <c r="A28" t="s">
        <v>153</v>
      </c>
      <c r="B28" s="48" t="str">
        <f>_xlfn.TEXTJOIN(CHAR(10),,Scenario!A7,Scenario!C7)</f>
        <v>TS001
Validate the working of 'Register an account' functionality</v>
      </c>
      <c r="C28" t="s">
        <v>154</v>
      </c>
      <c r="D28" s="29"/>
    </row>
    <row r="29" ht="33" spans="1:4">
      <c r="A29" t="s">
        <v>155</v>
      </c>
      <c r="B29" s="48" t="str">
        <f>_xlfn.TEXTJOIN(CHAR(10),,Scenario!A7,Scenario!C7)</f>
        <v>TS001
Validate the working of 'Register an account' functionality</v>
      </c>
      <c r="C29" t="s">
        <v>156</v>
      </c>
      <c r="D29" s="29"/>
    </row>
    <row r="30" ht="33" spans="1:4">
      <c r="A30" t="s">
        <v>157</v>
      </c>
      <c r="B30" s="48" t="str">
        <f>_xlfn.TEXTJOIN(CHAR(10),,Scenario!A7,Scenario!C7)</f>
        <v>TS001
Validate the working of 'Register an account' functionality</v>
      </c>
      <c r="C30" t="s">
        <v>158</v>
      </c>
      <c r="D30" s="29"/>
    </row>
    <row r="31" ht="33" spans="1:4">
      <c r="A31" t="s">
        <v>159</v>
      </c>
      <c r="B31" s="48" t="str">
        <f>_xlfn.TEXTJOIN(CHAR(10),,Scenario!A7,Scenario!C7)</f>
        <v>TS001
Validate the working of 'Register an account' functionality</v>
      </c>
      <c r="C31" t="s">
        <v>160</v>
      </c>
      <c r="D31" s="29"/>
    </row>
    <row r="32" ht="33" spans="1:4">
      <c r="A32" t="s">
        <v>161</v>
      </c>
      <c r="B32" s="48" t="str">
        <f>_xlfn.TEXTJOIN(CHAR(10),,Scenario!A7,Scenario!C7)</f>
        <v>TS001
Validate the working of 'Register an account' functionality</v>
      </c>
      <c r="C32" t="s">
        <v>162</v>
      </c>
      <c r="D32" s="29"/>
    </row>
    <row r="33" ht="33" spans="1:4">
      <c r="A33" t="s">
        <v>163</v>
      </c>
      <c r="B33" s="48" t="str">
        <f>_xlfn.TEXTJOIN(CHAR(10),,Scenario!A7,Scenario!C7)</f>
        <v>TS001
Validate the working of 'Register an account' functionality</v>
      </c>
      <c r="C33" t="s">
        <v>164</v>
      </c>
      <c r="D33" s="29"/>
    </row>
    <row r="34" ht="28.5" spans="1:4">
      <c r="A34" t="s">
        <v>165</v>
      </c>
      <c r="B34" s="43" t="str">
        <f>_xlfn.TEXTJOIN(CHAR(10),,Scenario!A7,Scenario!C7)</f>
        <v>TS001
Validate the working of 'Register an account' functionality</v>
      </c>
      <c r="C34" t="s">
        <v>166</v>
      </c>
      <c r="D34" s="29"/>
    </row>
    <row r="35" ht="28.5" spans="1:4">
      <c r="A35" t="s">
        <v>167</v>
      </c>
      <c r="B35" s="43" t="str">
        <f>_xlfn.TEXTJOIN(CHAR(10),,Scenario!A9,Scenario!C9)</f>
        <v>TS003
Validate the working of 'Logout' functionality</v>
      </c>
      <c r="C35" t="s">
        <v>168</v>
      </c>
    </row>
    <row r="36" ht="28.5" spans="1:4">
      <c r="A36" t="s">
        <v>169</v>
      </c>
      <c r="B36" s="43" t="str">
        <f>_xlfn.TEXTJOIN(CHAR(10),,Scenario!A10,Scenario!C10)</f>
        <v>TS004
Validate the working of 'Forgot Password' functionality</v>
      </c>
      <c r="C36" t="s">
        <v>170</v>
      </c>
    </row>
  </sheetData>
  <hyperlinks>
    <hyperlink ref="B2" location="Scenario!A1" display="=TEXTJOIN(CHAR(10),,Scenario!A8,Scenario!C8)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0" sqref="G30"/>
    </sheetView>
  </sheetViews>
  <sheetFormatPr defaultColWidth="9" defaultRowHeight="14.25"/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opLeftCell="A3" workbookViewId="0">
      <selection activeCell="A2" sqref="A2"/>
    </sheetView>
  </sheetViews>
  <sheetFormatPr defaultColWidth="9" defaultRowHeight="14.25"/>
  <cols>
    <col min="1" max="1" width="18.5666666666667" customWidth="1"/>
    <col min="2" max="2" width="49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1" t="s">
        <v>96</v>
      </c>
      <c r="F1" s="10" t="s">
        <v>97</v>
      </c>
      <c r="G1" s="11" t="s">
        <v>98</v>
      </c>
      <c r="H1" s="10" t="s">
        <v>99</v>
      </c>
      <c r="I1" s="10" t="s">
        <v>15</v>
      </c>
      <c r="J1" s="10" t="s">
        <v>100</v>
      </c>
      <c r="K1" s="10" t="s">
        <v>101</v>
      </c>
    </row>
    <row r="2" customFormat="1" ht="18" spans="1:11">
      <c r="A2" s="19" t="s">
        <v>171</v>
      </c>
      <c r="B2" t="s">
        <v>172</v>
      </c>
      <c r="C2" t="s">
        <v>11</v>
      </c>
    </row>
    <row r="3" ht="142.5" spans="1:11">
      <c r="A3" s="12" t="s">
        <v>173</v>
      </c>
      <c r="B3" s="13" t="str">
        <f>"("&amp;Scenario!$A18&amp;")"&amp;Scenario!$C18</f>
        <v>(TS012)Validate the working of 'Home page' functionality</v>
      </c>
      <c r="C3" s="12" t="s">
        <v>174</v>
      </c>
      <c r="D3" s="32" t="s">
        <v>175</v>
      </c>
      <c r="E3" s="33" t="s">
        <v>176</v>
      </c>
      <c r="F3" s="12" t="s">
        <v>177</v>
      </c>
      <c r="G3" s="33" t="s">
        <v>178</v>
      </c>
      <c r="H3" s="12"/>
      <c r="I3" s="12"/>
      <c r="J3" s="12"/>
      <c r="K3" s="12"/>
    </row>
    <row r="4" ht="71.25" spans="1:11">
      <c r="A4" s="12" t="s">
        <v>179</v>
      </c>
      <c r="B4" s="13" t="str">
        <f>"("&amp;Scenario!$A18&amp;")"&amp;Scenario!$C18</f>
        <v>(TS012)Validate the working of 'Home page' functionality</v>
      </c>
      <c r="C4" s="12" t="s">
        <v>180</v>
      </c>
      <c r="D4" s="32" t="s">
        <v>175</v>
      </c>
      <c r="E4" s="14" t="s">
        <v>181</v>
      </c>
      <c r="F4" s="12" t="s">
        <v>182</v>
      </c>
      <c r="G4" s="33" t="s">
        <v>183</v>
      </c>
      <c r="H4" s="12"/>
      <c r="I4" s="12"/>
      <c r="J4" s="12"/>
      <c r="K4" s="12"/>
    </row>
    <row r="5" ht="42.75" spans="1:11">
      <c r="A5" s="12" t="s">
        <v>184</v>
      </c>
      <c r="B5" s="13" t="str">
        <f>"("&amp;Scenario!$A18&amp;")"&amp;Scenario!$C18</f>
        <v>(TS012)Validate the working of 'Home page' functionality</v>
      </c>
      <c r="C5" s="14" t="s">
        <v>185</v>
      </c>
      <c r="D5" s="32" t="s">
        <v>175</v>
      </c>
      <c r="E5" s="14" t="s">
        <v>186</v>
      </c>
      <c r="F5" s="12" t="s">
        <v>177</v>
      </c>
      <c r="G5" s="33" t="s">
        <v>187</v>
      </c>
      <c r="H5" s="12"/>
      <c r="I5" s="12"/>
      <c r="J5" s="12"/>
      <c r="K5" s="12"/>
    </row>
    <row r="6" spans="1:11">
      <c r="A6" s="12" t="s">
        <v>188</v>
      </c>
      <c r="B6" s="13" t="str">
        <f>"("&amp;Scenario!$A18&amp;")"&amp;Scenario!$C18</f>
        <v>(TS012)Validate the working of 'Home page' functionality</v>
      </c>
      <c r="C6" s="12" t="s">
        <v>189</v>
      </c>
      <c r="D6" s="32" t="s">
        <v>175</v>
      </c>
      <c r="E6" s="12" t="s">
        <v>190</v>
      </c>
      <c r="F6" s="12" t="s">
        <v>177</v>
      </c>
      <c r="G6" s="32" t="s">
        <v>191</v>
      </c>
      <c r="H6" s="12"/>
      <c r="I6" s="12"/>
      <c r="J6" s="12"/>
      <c r="K6" s="12"/>
    </row>
    <row r="7" spans="1:11">
      <c r="A7" s="12" t="s">
        <v>192</v>
      </c>
      <c r="B7" s="13" t="str">
        <f>"("&amp;Scenario!$A18&amp;")"&amp;Scenario!$C18</f>
        <v>(TS012)Validate the working of 'Home page' functionality</v>
      </c>
      <c r="C7" s="12" t="s">
        <v>193</v>
      </c>
      <c r="D7" s="32" t="s">
        <v>175</v>
      </c>
      <c r="E7" s="14" t="s">
        <v>194</v>
      </c>
      <c r="F7" s="12" t="s">
        <v>177</v>
      </c>
      <c r="G7" s="32" t="s">
        <v>195</v>
      </c>
      <c r="H7" s="12"/>
      <c r="I7" s="12"/>
      <c r="J7" s="12"/>
      <c r="K7" s="12"/>
    </row>
    <row r="8" ht="28.5" spans="1:11">
      <c r="A8" s="12" t="s">
        <v>196</v>
      </c>
      <c r="B8" s="13" t="str">
        <f>"("&amp;Scenario!$A18&amp;")"&amp;Scenario!$C18</f>
        <v>(TS012)Validate the working of 'Home page' functionality</v>
      </c>
      <c r="C8" s="12" t="s">
        <v>197</v>
      </c>
      <c r="D8" s="32" t="s">
        <v>175</v>
      </c>
      <c r="E8" s="14" t="s">
        <v>198</v>
      </c>
      <c r="F8" s="12" t="s">
        <v>177</v>
      </c>
      <c r="G8" s="33" t="s">
        <v>199</v>
      </c>
      <c r="H8" s="12"/>
      <c r="I8" s="12"/>
      <c r="J8" s="12"/>
      <c r="K8" s="12"/>
    </row>
    <row r="9" ht="28.5" spans="1:11">
      <c r="A9" s="12" t="s">
        <v>200</v>
      </c>
      <c r="B9" s="13" t="str">
        <f>"("&amp;Scenario!$A18&amp;")"&amp;Scenario!$C18</f>
        <v>(TS012)Validate the working of 'Home page' functionality</v>
      </c>
      <c r="C9" s="12" t="s">
        <v>201</v>
      </c>
      <c r="D9" s="32" t="s">
        <v>175</v>
      </c>
      <c r="E9" s="14" t="s">
        <v>202</v>
      </c>
      <c r="F9" s="12" t="s">
        <v>203</v>
      </c>
      <c r="G9" s="32" t="s">
        <v>204</v>
      </c>
      <c r="H9" s="12"/>
      <c r="I9" s="12"/>
      <c r="J9" s="12"/>
      <c r="K9" s="12"/>
    </row>
    <row r="10" ht="114" spans="1:11">
      <c r="A10" s="12" t="s">
        <v>205</v>
      </c>
      <c r="B10" s="13" t="str">
        <f>"("&amp;Scenario!$A18&amp;")"&amp;Scenario!$C18</f>
        <v>(TS012)Validate the working of 'Home page' functionality</v>
      </c>
      <c r="C10" s="12" t="s">
        <v>206</v>
      </c>
      <c r="D10" s="32" t="s">
        <v>175</v>
      </c>
      <c r="E10" s="12" t="s">
        <v>207</v>
      </c>
      <c r="F10" s="12" t="s">
        <v>177</v>
      </c>
      <c r="G10" s="42" t="s">
        <v>208</v>
      </c>
      <c r="H10" s="12"/>
      <c r="I10" s="12"/>
      <c r="J10" s="12"/>
      <c r="K10" s="12"/>
    </row>
    <row r="11" spans="1:11">
      <c r="A11" s="12" t="s">
        <v>209</v>
      </c>
      <c r="B11" s="13" t="str">
        <f>"("&amp;Scenario!$A18&amp;")"&amp;Scenario!$C18</f>
        <v>(TS012)Validate the working of 'Home page' functionality</v>
      </c>
      <c r="C11" s="12" t="s">
        <v>210</v>
      </c>
      <c r="D11" s="32" t="s">
        <v>175</v>
      </c>
      <c r="E11" s="33" t="s">
        <v>211</v>
      </c>
      <c r="F11" s="12" t="s">
        <v>177</v>
      </c>
      <c r="G11" s="33" t="s">
        <v>212</v>
      </c>
      <c r="H11" s="12"/>
      <c r="I11" s="12"/>
      <c r="J11" s="12"/>
      <c r="K11" s="12"/>
    </row>
    <row r="12" ht="28.5" spans="1:11">
      <c r="A12" s="12" t="s">
        <v>213</v>
      </c>
      <c r="B12" s="13" t="str">
        <f>"("&amp;Scenario!$A18&amp;")"&amp;Scenario!$C18</f>
        <v>(TS012)Validate the working of 'Home page' functionality</v>
      </c>
      <c r="C12" s="33" t="s">
        <v>214</v>
      </c>
      <c r="D12" s="32" t="s">
        <v>175</v>
      </c>
      <c r="E12" s="33" t="s">
        <v>215</v>
      </c>
      <c r="F12" s="12" t="s">
        <v>216</v>
      </c>
      <c r="G12" s="32" t="s">
        <v>204</v>
      </c>
      <c r="H12" s="12"/>
      <c r="I12" s="12"/>
      <c r="J12" s="12"/>
      <c r="K12" s="12"/>
    </row>
    <row r="13" ht="71.25" spans="1:11">
      <c r="A13" s="12" t="s">
        <v>217</v>
      </c>
      <c r="B13" s="13" t="str">
        <f>"("&amp;Scenario!$A18&amp;")"&amp;Scenario!$C18</f>
        <v>(TS012)Validate the working of 'Home page' functionality</v>
      </c>
      <c r="C13" s="33" t="s">
        <v>218</v>
      </c>
      <c r="D13" s="32" t="s">
        <v>175</v>
      </c>
      <c r="E13" s="33" t="s">
        <v>219</v>
      </c>
      <c r="F13" s="12" t="s">
        <v>177</v>
      </c>
      <c r="G13" s="33" t="s">
        <v>220</v>
      </c>
      <c r="H13" s="12"/>
      <c r="I13" s="12"/>
      <c r="J13" s="12"/>
      <c r="K13" s="12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dataValidations count="1">
    <dataValidation type="list" allowBlank="1" showInputMessage="1" showErrorMessage="1" sqref="C2">
      <formula1>"working,complete"</formula1>
    </dataValidation>
  </dataValidations>
  <hyperlinks>
    <hyperlink ref="A2" location="Scenario!A18" display="&lt;&lt;Test Scenario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15" zoomScaleNormal="115" workbookViewId="0">
      <selection activeCell="A2" sqref="A2"/>
    </sheetView>
  </sheetViews>
  <sheetFormatPr defaultColWidth="9" defaultRowHeight="14.25"/>
  <cols>
    <col min="1" max="1" width="13.125" customWidth="1"/>
    <col min="2" max="2" width="30.8833333333333" style="1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1" t="s">
        <v>96</v>
      </c>
      <c r="F1" s="10" t="s">
        <v>97</v>
      </c>
      <c r="G1" s="11" t="s">
        <v>98</v>
      </c>
      <c r="H1" s="10" t="s">
        <v>99</v>
      </c>
      <c r="I1" s="10" t="s">
        <v>15</v>
      </c>
      <c r="J1" s="10" t="s">
        <v>100</v>
      </c>
      <c r="K1" s="10" t="s">
        <v>101</v>
      </c>
    </row>
    <row r="2" ht="37" customHeight="1" spans="1:11">
      <c r="A2" s="12"/>
      <c r="B2" s="13"/>
      <c r="C2" s="12" t="s">
        <v>172</v>
      </c>
      <c r="D2" t="s">
        <v>11</v>
      </c>
      <c r="E2" s="33"/>
      <c r="F2" s="12"/>
      <c r="G2" s="14"/>
      <c r="H2" s="12"/>
      <c r="I2" s="12"/>
      <c r="J2" s="12"/>
      <c r="K2" s="12"/>
    </row>
    <row r="3" ht="69" customHeight="1" spans="1:11">
      <c r="A3" s="12" t="s">
        <v>221</v>
      </c>
      <c r="B3" s="13" t="str">
        <f>"("&amp;Scenario!A38&amp;")"&amp;" 
"&amp;Scenario!C38</f>
        <v>(TS032) 
Validate the working of 'Top Menu' options' functionality</v>
      </c>
      <c r="C3" s="12" t="s">
        <v>222</v>
      </c>
      <c r="D3" s="33" t="s">
        <v>223</v>
      </c>
      <c r="E3" s="33" t="s">
        <v>224</v>
      </c>
      <c r="F3" s="12" t="s">
        <v>177</v>
      </c>
      <c r="G3" s="14" t="s">
        <v>225</v>
      </c>
      <c r="H3" s="12"/>
      <c r="I3" s="12"/>
      <c r="J3" s="12"/>
      <c r="K3" s="12"/>
    </row>
    <row r="4" ht="128.25" spans="1:11">
      <c r="A4" s="12" t="s">
        <v>226</v>
      </c>
      <c r="B4" s="13" t="str">
        <f>"("&amp;Scenario!A38&amp;")"&amp;" 
"&amp;Scenario!C38</f>
        <v>(TS032) 
Validate the working of 'Top Menu' options' functionality</v>
      </c>
      <c r="C4" s="12" t="s">
        <v>227</v>
      </c>
      <c r="D4" s="32" t="s">
        <v>175</v>
      </c>
      <c r="E4" s="12" t="s">
        <v>228</v>
      </c>
      <c r="F4" s="12" t="s">
        <v>177</v>
      </c>
      <c r="G4" s="14" t="s">
        <v>229</v>
      </c>
      <c r="H4" s="12"/>
      <c r="I4" s="12"/>
      <c r="J4" s="12"/>
      <c r="K4" s="12"/>
    </row>
    <row r="5" ht="42.75" spans="1:11">
      <c r="A5" s="12" t="s">
        <v>230</v>
      </c>
      <c r="B5" s="13" t="str">
        <f>"("&amp;Scenario!A38&amp;")"&amp;" 
"&amp;Scenario!C38</f>
        <v>(TS032) 
Validate the working of 'Top Menu' options' functionality</v>
      </c>
      <c r="C5" s="12" t="s">
        <v>231</v>
      </c>
      <c r="D5" s="32" t="s">
        <v>175</v>
      </c>
      <c r="E5" s="14" t="s">
        <v>232</v>
      </c>
      <c r="F5" s="12" t="s">
        <v>233</v>
      </c>
      <c r="G5" s="12" t="s">
        <v>234</v>
      </c>
      <c r="H5" s="12"/>
      <c r="I5" s="12"/>
      <c r="J5" s="12"/>
      <c r="K5" s="12"/>
    </row>
    <row r="6" ht="42.75" spans="1:11">
      <c r="A6" s="12" t="s">
        <v>235</v>
      </c>
      <c r="B6" s="13" t="str">
        <f>"("&amp;Scenario!A38&amp;")"&amp;" 
"&amp;Scenario!C38</f>
        <v>(TS032) 
Validate the working of 'Top Menu' options' functionality</v>
      </c>
      <c r="C6" s="12" t="s">
        <v>236</v>
      </c>
      <c r="D6" s="32" t="s">
        <v>175</v>
      </c>
      <c r="E6" s="14" t="s">
        <v>237</v>
      </c>
      <c r="F6" s="12" t="s">
        <v>238</v>
      </c>
      <c r="G6" s="12" t="s">
        <v>239</v>
      </c>
      <c r="H6" s="12"/>
      <c r="I6" s="12"/>
      <c r="J6" s="12"/>
      <c r="K6" s="12"/>
    </row>
    <row r="7" ht="42.75" spans="1:11">
      <c r="A7" s="12" t="s">
        <v>240</v>
      </c>
      <c r="B7" s="13" t="str">
        <f>"("&amp;Scenario!A38&amp;")"&amp;" 
"&amp;Scenario!C38</f>
        <v>(TS032) 
Validate the working of 'Top Menu' options' functionality</v>
      </c>
      <c r="C7" s="12" t="s">
        <v>241</v>
      </c>
      <c r="D7" s="33" t="s">
        <v>242</v>
      </c>
      <c r="E7" s="14" t="s">
        <v>243</v>
      </c>
      <c r="F7" s="14" t="s">
        <v>244</v>
      </c>
      <c r="G7" s="12" t="s">
        <v>245</v>
      </c>
      <c r="H7" s="12"/>
      <c r="I7" s="12"/>
      <c r="J7" s="12"/>
      <c r="K7" s="12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  <row r="18" spans="2:2">
      <c r="B1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70" zoomScaleNormal="70" workbookViewId="0">
      <selection activeCell="D2" sqref="D2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18" customWidth="1"/>
    <col min="8" max="8" width="19.2916666666667" style="29" customWidth="1"/>
    <col min="9" max="9" width="7.75" customWidth="1"/>
    <col min="10" max="10" width="7.125" customWidth="1"/>
    <col min="11" max="11" width="41.125" customWidth="1"/>
  </cols>
  <sheetData>
    <row r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1" t="s">
        <v>96</v>
      </c>
      <c r="F1" s="10" t="s">
        <v>97</v>
      </c>
      <c r="G1" s="11" t="s">
        <v>98</v>
      </c>
      <c r="H1" s="11" t="s">
        <v>99</v>
      </c>
      <c r="I1" s="10" t="s">
        <v>15</v>
      </c>
      <c r="J1" s="10" t="s">
        <v>100</v>
      </c>
      <c r="K1" s="10" t="s">
        <v>101</v>
      </c>
    </row>
    <row r="2" ht="18" spans="1:11">
      <c r="A2" s="30" t="s">
        <v>93</v>
      </c>
      <c r="B2" s="12"/>
      <c r="C2" t="s">
        <v>172</v>
      </c>
      <c r="D2" t="s">
        <v>11</v>
      </c>
      <c r="E2" s="12"/>
      <c r="F2" s="31"/>
      <c r="G2" s="21"/>
      <c r="H2" s="14"/>
      <c r="I2" s="12"/>
      <c r="J2" s="12"/>
      <c r="K2" s="12"/>
    </row>
    <row r="3" ht="114" spans="1:11">
      <c r="A3" s="12" t="s">
        <v>246</v>
      </c>
      <c r="B3" s="13" t="s">
        <v>247</v>
      </c>
      <c r="C3" s="32" t="s">
        <v>248</v>
      </c>
      <c r="D3" s="33" t="s">
        <v>249</v>
      </c>
      <c r="E3" s="33" t="s">
        <v>250</v>
      </c>
      <c r="F3" s="31" t="s">
        <v>177</v>
      </c>
      <c r="G3" s="22" t="s">
        <v>251</v>
      </c>
      <c r="H3" s="14"/>
      <c r="I3" s="12"/>
      <c r="J3" s="12"/>
      <c r="K3" s="12"/>
    </row>
    <row r="4" ht="42.75" spans="1:11">
      <c r="A4" s="12" t="s">
        <v>252</v>
      </c>
      <c r="B4" s="13" t="s">
        <v>247</v>
      </c>
      <c r="C4" s="32" t="s">
        <v>253</v>
      </c>
      <c r="D4" s="33" t="s">
        <v>249</v>
      </c>
      <c r="E4" s="33" t="s">
        <v>254</v>
      </c>
      <c r="F4" s="31" t="s">
        <v>177</v>
      </c>
      <c r="G4" s="21" t="s">
        <v>255</v>
      </c>
      <c r="H4" s="14"/>
      <c r="I4" s="12"/>
      <c r="J4" s="12"/>
      <c r="K4" s="12"/>
    </row>
    <row r="5" ht="42.75" spans="1:11">
      <c r="A5" s="12" t="s">
        <v>256</v>
      </c>
      <c r="B5" s="13" t="s">
        <v>247</v>
      </c>
      <c r="C5" s="32" t="s">
        <v>257</v>
      </c>
      <c r="D5" s="32" t="s">
        <v>175</v>
      </c>
      <c r="E5" s="33" t="s">
        <v>258</v>
      </c>
      <c r="F5" s="31" t="s">
        <v>177</v>
      </c>
      <c r="G5" s="21" t="s">
        <v>259</v>
      </c>
      <c r="H5" s="14"/>
      <c r="I5" s="12"/>
      <c r="J5" s="12"/>
      <c r="K5" s="12"/>
    </row>
    <row r="6" ht="42.75" spans="1:11">
      <c r="A6" s="12" t="s">
        <v>260</v>
      </c>
      <c r="B6" s="13" t="s">
        <v>247</v>
      </c>
      <c r="C6" s="32" t="s">
        <v>261</v>
      </c>
      <c r="D6" s="32" t="s">
        <v>175</v>
      </c>
      <c r="E6" s="32" t="s">
        <v>262</v>
      </c>
      <c r="F6" s="31" t="s">
        <v>177</v>
      </c>
      <c r="G6" s="21" t="s">
        <v>263</v>
      </c>
      <c r="H6" s="14"/>
      <c r="I6" s="12"/>
      <c r="J6" s="12"/>
      <c r="K6" s="12"/>
    </row>
    <row r="7" ht="42.75" spans="1:11">
      <c r="A7" s="12" t="s">
        <v>264</v>
      </c>
      <c r="B7" s="13" t="s">
        <v>247</v>
      </c>
      <c r="C7" s="32" t="s">
        <v>265</v>
      </c>
      <c r="D7" s="32" t="s">
        <v>175</v>
      </c>
      <c r="E7" s="34" t="s">
        <v>266</v>
      </c>
      <c r="F7" s="31" t="s">
        <v>177</v>
      </c>
      <c r="G7" s="21" t="s">
        <v>267</v>
      </c>
      <c r="H7" s="14"/>
      <c r="I7" s="12"/>
      <c r="J7" s="12"/>
      <c r="K7" s="12"/>
    </row>
    <row r="8" ht="42.75" spans="1:11">
      <c r="A8" s="12" t="s">
        <v>268</v>
      </c>
      <c r="B8" s="35" t="s">
        <v>247</v>
      </c>
      <c r="C8" s="34" t="s">
        <v>269</v>
      </c>
      <c r="D8" s="36" t="s">
        <v>175</v>
      </c>
      <c r="E8" s="34" t="s">
        <v>266</v>
      </c>
      <c r="F8" s="35" t="s">
        <v>177</v>
      </c>
      <c r="G8" s="37" t="s">
        <v>270</v>
      </c>
      <c r="H8" s="38"/>
      <c r="I8" s="39"/>
      <c r="J8" s="39"/>
      <c r="K8" s="38"/>
    </row>
    <row r="9" ht="42.75" spans="1:11">
      <c r="A9" s="12" t="s">
        <v>271</v>
      </c>
      <c r="B9" s="35" t="s">
        <v>247</v>
      </c>
      <c r="C9" s="34" t="s">
        <v>272</v>
      </c>
      <c r="D9" s="36" t="s">
        <v>175</v>
      </c>
      <c r="E9" s="34" t="s">
        <v>266</v>
      </c>
      <c r="F9" s="35" t="s">
        <v>177</v>
      </c>
      <c r="G9" s="37" t="s">
        <v>273</v>
      </c>
      <c r="H9" s="38"/>
      <c r="I9" s="39"/>
      <c r="J9" s="39"/>
      <c r="K9" s="39"/>
    </row>
    <row r="10" ht="42.75" spans="1:11">
      <c r="A10" s="12" t="s">
        <v>274</v>
      </c>
      <c r="B10" s="35" t="s">
        <v>247</v>
      </c>
      <c r="C10" s="34" t="s">
        <v>275</v>
      </c>
      <c r="D10" s="36" t="s">
        <v>175</v>
      </c>
      <c r="E10" s="34" t="s">
        <v>276</v>
      </c>
      <c r="F10" s="35" t="s">
        <v>177</v>
      </c>
      <c r="G10" s="37" t="s">
        <v>277</v>
      </c>
      <c r="H10" s="38"/>
      <c r="I10" s="39"/>
      <c r="J10" s="39"/>
      <c r="K10" s="38"/>
    </row>
    <row r="11" ht="42.75" spans="1:11">
      <c r="A11" s="12" t="s">
        <v>278</v>
      </c>
      <c r="B11" s="35" t="s">
        <v>247</v>
      </c>
      <c r="C11" s="34" t="s">
        <v>279</v>
      </c>
      <c r="D11" s="36" t="s">
        <v>175</v>
      </c>
      <c r="E11" s="36" t="s">
        <v>280</v>
      </c>
      <c r="F11" s="40" t="s">
        <v>281</v>
      </c>
      <c r="G11" s="41" t="s">
        <v>282</v>
      </c>
      <c r="H11" s="38"/>
      <c r="I11" s="39"/>
      <c r="J11" s="39"/>
      <c r="K11" s="38"/>
    </row>
    <row r="12" ht="57" spans="1:11">
      <c r="A12" s="12" t="s">
        <v>283</v>
      </c>
      <c r="B12" s="35" t="s">
        <v>247</v>
      </c>
      <c r="C12" s="34" t="s">
        <v>284</v>
      </c>
      <c r="D12" s="36" t="s">
        <v>285</v>
      </c>
      <c r="E12" s="36" t="s">
        <v>286</v>
      </c>
      <c r="F12" s="40" t="s">
        <v>281</v>
      </c>
      <c r="G12" s="37" t="s">
        <v>287</v>
      </c>
      <c r="H12" s="38"/>
      <c r="I12" s="39"/>
      <c r="J12" s="39"/>
      <c r="K12" s="38"/>
    </row>
    <row r="13" ht="57" spans="1:11">
      <c r="A13" s="12" t="s">
        <v>288</v>
      </c>
      <c r="B13" s="35" t="s">
        <v>247</v>
      </c>
      <c r="C13" s="34" t="s">
        <v>289</v>
      </c>
      <c r="D13" s="36" t="s">
        <v>285</v>
      </c>
      <c r="E13" s="36" t="s">
        <v>290</v>
      </c>
      <c r="F13" s="35" t="s">
        <v>291</v>
      </c>
      <c r="G13" s="37" t="s">
        <v>292</v>
      </c>
      <c r="H13" s="38"/>
      <c r="I13" s="39"/>
      <c r="J13" s="39"/>
      <c r="K13" s="38"/>
    </row>
    <row r="14" ht="57" spans="1:11">
      <c r="A14" s="12" t="s">
        <v>293</v>
      </c>
      <c r="B14" s="35" t="s">
        <v>247</v>
      </c>
      <c r="C14" s="34" t="s">
        <v>294</v>
      </c>
      <c r="D14" s="36" t="s">
        <v>295</v>
      </c>
      <c r="E14" s="36" t="s">
        <v>296</v>
      </c>
      <c r="F14" s="40" t="s">
        <v>216</v>
      </c>
      <c r="G14" s="37" t="s">
        <v>297</v>
      </c>
      <c r="H14" s="38"/>
      <c r="I14" s="39"/>
      <c r="J14" s="39"/>
      <c r="K14" s="38"/>
    </row>
    <row r="15" ht="42.75" spans="1:11">
      <c r="A15" s="12" t="s">
        <v>298</v>
      </c>
      <c r="B15" s="35" t="s">
        <v>247</v>
      </c>
      <c r="C15" s="34" t="s">
        <v>299</v>
      </c>
      <c r="D15" s="36" t="s">
        <v>175</v>
      </c>
      <c r="E15" s="34" t="s">
        <v>300</v>
      </c>
      <c r="F15" s="35" t="s">
        <v>177</v>
      </c>
      <c r="G15" s="37" t="s">
        <v>301</v>
      </c>
      <c r="H15" s="38"/>
      <c r="I15" s="39"/>
      <c r="J15" s="39"/>
      <c r="K15" s="38"/>
    </row>
    <row r="16" ht="42.75" spans="1:11">
      <c r="A16" s="12" t="s">
        <v>302</v>
      </c>
      <c r="B16" s="35" t="s">
        <v>247</v>
      </c>
      <c r="C16" s="34" t="s">
        <v>303</v>
      </c>
      <c r="D16" s="34" t="s">
        <v>175</v>
      </c>
      <c r="E16" s="34" t="s">
        <v>304</v>
      </c>
      <c r="F16" s="35" t="s">
        <v>177</v>
      </c>
      <c r="G16" s="37" t="s">
        <v>305</v>
      </c>
      <c r="H16" s="38"/>
      <c r="I16" s="39"/>
      <c r="J16" s="39"/>
      <c r="K16" s="38"/>
    </row>
    <row r="17" ht="42.75" spans="1:11">
      <c r="A17" s="12" t="s">
        <v>306</v>
      </c>
      <c r="B17" s="35" t="s">
        <v>247</v>
      </c>
      <c r="C17" s="34" t="s">
        <v>307</v>
      </c>
      <c r="D17" s="36" t="s">
        <v>308</v>
      </c>
      <c r="E17" s="34" t="s">
        <v>304</v>
      </c>
      <c r="F17" s="40" t="s">
        <v>177</v>
      </c>
      <c r="G17" s="41" t="s">
        <v>309</v>
      </c>
      <c r="H17" s="38"/>
      <c r="I17" s="39"/>
      <c r="J17" s="39"/>
      <c r="K17" s="38"/>
    </row>
    <row r="18" ht="42.75" spans="1:11">
      <c r="A18" s="12" t="s">
        <v>310</v>
      </c>
      <c r="B18" s="35" t="s">
        <v>247</v>
      </c>
      <c r="C18" s="34" t="s">
        <v>311</v>
      </c>
      <c r="D18" s="34" t="s">
        <v>175</v>
      </c>
      <c r="E18" s="36" t="s">
        <v>312</v>
      </c>
      <c r="F18" s="40" t="s">
        <v>177</v>
      </c>
      <c r="G18" s="37" t="s">
        <v>313</v>
      </c>
      <c r="H18" s="38"/>
      <c r="I18" s="39"/>
      <c r="J18" s="39"/>
      <c r="K18" s="38"/>
    </row>
    <row r="19" s="29" customFormat="1" ht="42.75" spans="1:11">
      <c r="A19" s="12" t="s">
        <v>314</v>
      </c>
      <c r="B19" s="35" t="s">
        <v>247</v>
      </c>
      <c r="C19" s="34" t="s">
        <v>315</v>
      </c>
      <c r="D19" s="36" t="s">
        <v>175</v>
      </c>
      <c r="E19" s="34" t="s">
        <v>316</v>
      </c>
      <c r="F19" s="35" t="s">
        <v>177</v>
      </c>
      <c r="G19" s="37" t="s">
        <v>317</v>
      </c>
      <c r="H19" s="38"/>
      <c r="I19" s="39"/>
      <c r="J19" s="39"/>
      <c r="K19" s="38"/>
    </row>
    <row r="20" s="29" customFormat="1" ht="42.75" spans="1:11">
      <c r="A20" s="12" t="s">
        <v>318</v>
      </c>
      <c r="B20" s="35" t="s">
        <v>247</v>
      </c>
      <c r="C20" s="36" t="s">
        <v>319</v>
      </c>
      <c r="D20" s="36" t="s">
        <v>175</v>
      </c>
      <c r="E20" s="36" t="s">
        <v>320</v>
      </c>
      <c r="F20" s="35" t="s">
        <v>321</v>
      </c>
      <c r="G20" s="41" t="s">
        <v>322</v>
      </c>
      <c r="H20" s="38"/>
      <c r="I20" s="38"/>
      <c r="J20" s="38"/>
      <c r="K20" s="38"/>
    </row>
    <row r="21" customFormat="1" ht="71.25" spans="1:11">
      <c r="A21" s="12" t="s">
        <v>323</v>
      </c>
      <c r="B21" s="35" t="s">
        <v>247</v>
      </c>
      <c r="C21" s="36" t="s">
        <v>324</v>
      </c>
      <c r="D21" s="36" t="s">
        <v>175</v>
      </c>
      <c r="E21" s="36" t="s">
        <v>320</v>
      </c>
      <c r="F21" s="35" t="s">
        <v>325</v>
      </c>
      <c r="G21" s="21" t="s">
        <v>326</v>
      </c>
      <c r="H21" s="14" t="s">
        <v>327</v>
      </c>
      <c r="I21" s="12"/>
      <c r="J21" s="12"/>
      <c r="K21" s="12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dataValidations count="1">
    <dataValidation type="list" allowBlank="1" showInputMessage="1" showErrorMessage="1" sqref="D2">
      <formula1>"working,complete"</formula1>
    </dataValidation>
  </dataValidations>
  <hyperlinks>
    <hyperlink ref="A2" location="Scenario!A37" display="Test Scenario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zoomScale="115" zoomScaleNormal="115" workbookViewId="0">
      <selection activeCell="D2" sqref="D2"/>
    </sheetView>
  </sheetViews>
  <sheetFormatPr defaultColWidth="9" defaultRowHeight="14.25"/>
  <cols>
    <col min="1" max="1" width="13.125" style="26" customWidth="1"/>
    <col min="2" max="2" width="25.875" style="27" customWidth="1"/>
    <col min="3" max="3" width="32.625" style="26" customWidth="1"/>
    <col min="4" max="4" width="30.875" style="26" customWidth="1"/>
    <col min="5" max="5" width="42.35" style="26" customWidth="1"/>
    <col min="6" max="6" width="15.2916666666667" style="26" customWidth="1"/>
    <col min="7" max="7" width="86.6" style="26" customWidth="1"/>
    <col min="8" max="8" width="13.375" style="26" customWidth="1"/>
    <col min="9" max="9" width="7.75" style="26" customWidth="1"/>
    <col min="10" max="10" width="7.125" style="26" customWidth="1"/>
    <col min="11" max="11" width="10.875" style="26" customWidth="1"/>
    <col min="12" max="16384" width="9" style="26"/>
  </cols>
  <sheetData>
    <row r="1" s="26" customFormat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1" t="s">
        <v>96</v>
      </c>
      <c r="F1" s="10" t="s">
        <v>97</v>
      </c>
      <c r="G1" s="11" t="s">
        <v>98</v>
      </c>
      <c r="H1" s="10" t="s">
        <v>99</v>
      </c>
      <c r="I1" s="10" t="s">
        <v>15</v>
      </c>
      <c r="J1" s="10" t="s">
        <v>100</v>
      </c>
      <c r="K1" s="10" t="s">
        <v>101</v>
      </c>
    </row>
    <row r="2" s="26" customFormat="1" spans="1:11">
      <c r="A2" s="21" t="s">
        <v>93</v>
      </c>
      <c r="B2" s="21"/>
      <c r="C2" t="s">
        <v>172</v>
      </c>
      <c r="D2" t="s">
        <v>11</v>
      </c>
      <c r="E2" s="21"/>
      <c r="F2" s="21"/>
      <c r="G2" s="21"/>
      <c r="H2" s="21"/>
      <c r="I2" s="21"/>
      <c r="J2" s="21"/>
      <c r="K2" s="21"/>
    </row>
    <row r="3" s="26" customFormat="1" ht="128.25" spans="1:11">
      <c r="A3" s="12" t="s">
        <v>328</v>
      </c>
      <c r="B3" s="13" t="s">
        <v>329</v>
      </c>
      <c r="C3" s="12" t="s">
        <v>330</v>
      </c>
      <c r="D3" s="12" t="s">
        <v>331</v>
      </c>
      <c r="E3" s="12" t="s">
        <v>332</v>
      </c>
      <c r="F3" s="12" t="s">
        <v>177</v>
      </c>
      <c r="G3" s="14" t="s">
        <v>333</v>
      </c>
      <c r="H3" s="12"/>
      <c r="I3" s="12"/>
      <c r="J3" s="12"/>
      <c r="K3" s="12"/>
    </row>
    <row r="4" s="26" customFormat="1" ht="42.75" spans="1:11">
      <c r="A4" s="12" t="s">
        <v>334</v>
      </c>
      <c r="B4" s="13" t="s">
        <v>329</v>
      </c>
      <c r="C4" s="12" t="s">
        <v>335</v>
      </c>
      <c r="D4" s="12" t="s">
        <v>331</v>
      </c>
      <c r="E4" s="14" t="s">
        <v>336</v>
      </c>
      <c r="F4" s="12" t="str">
        <f>SUBSTITUTE(MID(C4,22,30),"'","")</f>
        <v>About Us</v>
      </c>
      <c r="G4" s="12" t="str">
        <f>"Should navigate user to "&amp;MID(C4,22,30)&amp;". A proper text/information should display on this page"</f>
        <v>Should navigate user to 'About Us'. A proper text/information should display on this page</v>
      </c>
      <c r="H4" s="12"/>
      <c r="I4" s="12"/>
      <c r="J4" s="12"/>
      <c r="K4" s="12"/>
    </row>
    <row r="5" s="26" customFormat="1" ht="42.75" spans="1:11">
      <c r="A5" s="12" t="s">
        <v>337</v>
      </c>
      <c r="B5" s="13" t="s">
        <v>329</v>
      </c>
      <c r="C5" s="12" t="s">
        <v>338</v>
      </c>
      <c r="D5" s="12" t="s">
        <v>331</v>
      </c>
      <c r="E5" s="14" t="s">
        <v>336</v>
      </c>
      <c r="F5" s="12" t="str">
        <f t="shared" ref="F5:F18" si="0">SUBSTITUTE(MID(C5,22,30),"'","")</f>
        <v>Delivery Information</v>
      </c>
      <c r="G5" s="12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12"/>
      <c r="I5" s="12"/>
      <c r="J5" s="12"/>
      <c r="K5" s="12"/>
    </row>
    <row r="6" s="26" customFormat="1" ht="42.75" spans="1:11">
      <c r="A6" s="12" t="s">
        <v>339</v>
      </c>
      <c r="B6" s="13" t="s">
        <v>329</v>
      </c>
      <c r="C6" s="12" t="s">
        <v>340</v>
      </c>
      <c r="D6" s="12" t="s">
        <v>331</v>
      </c>
      <c r="E6" s="14" t="s">
        <v>336</v>
      </c>
      <c r="F6" s="12" t="str">
        <f t="shared" si="0"/>
        <v>Privacy Policy</v>
      </c>
      <c r="G6" s="12" t="str">
        <f>"Should navigate user to "&amp;MID(C6,22,30)&amp;". A proper text/information should display on this page"</f>
        <v>Should navigate user to 'Privacy Policy'. A proper text/information should display on this page</v>
      </c>
      <c r="H6" s="12"/>
      <c r="I6" s="12"/>
      <c r="J6" s="12"/>
      <c r="K6" s="12"/>
    </row>
    <row r="7" s="26" customFormat="1" ht="42.75" spans="1:11">
      <c r="A7" s="12" t="s">
        <v>341</v>
      </c>
      <c r="B7" s="13" t="s">
        <v>329</v>
      </c>
      <c r="C7" s="12" t="s">
        <v>342</v>
      </c>
      <c r="D7" s="12" t="s">
        <v>331</v>
      </c>
      <c r="E7" s="14" t="s">
        <v>336</v>
      </c>
      <c r="F7" s="12" t="str">
        <f t="shared" si="0"/>
        <v>Term &amp; Conditions</v>
      </c>
      <c r="G7" s="12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12"/>
      <c r="I7" s="12"/>
      <c r="J7" s="12"/>
      <c r="K7" s="12"/>
    </row>
    <row r="8" s="26" customFormat="1" ht="42.75" spans="1:11">
      <c r="A8" s="12" t="s">
        <v>343</v>
      </c>
      <c r="B8" s="13" t="s">
        <v>329</v>
      </c>
      <c r="C8" s="12" t="s">
        <v>344</v>
      </c>
      <c r="D8" s="12" t="s">
        <v>331</v>
      </c>
      <c r="E8" s="14" t="s">
        <v>336</v>
      </c>
      <c r="F8" s="12" t="str">
        <f t="shared" si="0"/>
        <v>Contact Us</v>
      </c>
      <c r="G8" s="12" t="str">
        <f t="shared" si="1"/>
        <v>Should navigate user to 'Contact Us'. A proper text/information should display on this page</v>
      </c>
      <c r="H8" s="12"/>
      <c r="I8" s="12"/>
      <c r="J8" s="12"/>
      <c r="K8" s="12"/>
    </row>
    <row r="9" s="26" customFormat="1" ht="42.75" spans="1:11">
      <c r="A9" s="12" t="s">
        <v>345</v>
      </c>
      <c r="B9" s="13" t="s">
        <v>346</v>
      </c>
      <c r="C9" s="12" t="s">
        <v>347</v>
      </c>
      <c r="D9" s="12" t="s">
        <v>331</v>
      </c>
      <c r="E9" s="14" t="s">
        <v>336</v>
      </c>
      <c r="F9" s="12" t="str">
        <f t="shared" si="0"/>
        <v> Returns</v>
      </c>
      <c r="G9" s="12" t="str">
        <f t="shared" si="1"/>
        <v>Should navigate user to ' Returns'. A proper text/information should display on this page</v>
      </c>
      <c r="H9" s="12"/>
      <c r="I9" s="12"/>
      <c r="J9" s="12"/>
      <c r="K9" s="12"/>
    </row>
    <row r="10" s="26" customFormat="1" ht="42.75" spans="1:11">
      <c r="A10" s="12" t="s">
        <v>348</v>
      </c>
      <c r="B10" s="13" t="s">
        <v>349</v>
      </c>
      <c r="C10" s="12" t="s">
        <v>350</v>
      </c>
      <c r="D10" s="12" t="s">
        <v>331</v>
      </c>
      <c r="E10" s="14" t="s">
        <v>336</v>
      </c>
      <c r="F10" s="12" t="str">
        <f t="shared" si="0"/>
        <v>Site Map</v>
      </c>
      <c r="G10" s="12" t="str">
        <f t="shared" si="1"/>
        <v>Should navigate user to 'Site Map'. A proper text/information should display on this page</v>
      </c>
      <c r="H10" s="12"/>
      <c r="I10" s="12"/>
      <c r="J10" s="12"/>
      <c r="K10" s="12"/>
    </row>
    <row r="11" s="26" customFormat="1" ht="42.75" spans="1:11">
      <c r="A11" s="12" t="s">
        <v>351</v>
      </c>
      <c r="B11" s="13" t="s">
        <v>352</v>
      </c>
      <c r="C11" s="12" t="s">
        <v>353</v>
      </c>
      <c r="D11" s="12" t="s">
        <v>331</v>
      </c>
      <c r="E11" s="14" t="s">
        <v>336</v>
      </c>
      <c r="F11" s="12" t="str">
        <f t="shared" si="0"/>
        <v>Brands</v>
      </c>
      <c r="G11" s="12" t="str">
        <f t="shared" si="1"/>
        <v>Should navigate user to 'Brands'. A proper text/information should display on this page</v>
      </c>
      <c r="H11" s="12"/>
      <c r="I11" s="12"/>
      <c r="J11" s="12"/>
      <c r="K11" s="12"/>
    </row>
    <row r="12" s="26" customFormat="1" ht="42.75" spans="1:11">
      <c r="A12" s="12" t="s">
        <v>354</v>
      </c>
      <c r="B12" s="13" t="s">
        <v>355</v>
      </c>
      <c r="C12" s="12" t="s">
        <v>356</v>
      </c>
      <c r="D12" s="12" t="s">
        <v>331</v>
      </c>
      <c r="E12" s="14" t="s">
        <v>336</v>
      </c>
      <c r="F12" s="12" t="str">
        <f t="shared" si="0"/>
        <v>Gift Voucher</v>
      </c>
      <c r="G12" s="12" t="str">
        <f t="shared" si="1"/>
        <v>Should navigate user to 'Gift Voucher'. A proper text/information should display on this page</v>
      </c>
      <c r="H12" s="12"/>
      <c r="I12" s="12"/>
      <c r="J12" s="12"/>
      <c r="K12" s="12"/>
    </row>
    <row r="13" s="26" customFormat="1" ht="42.75" spans="1:11">
      <c r="A13" s="12" t="s">
        <v>357</v>
      </c>
      <c r="B13" s="13" t="s">
        <v>358</v>
      </c>
      <c r="C13" s="12" t="s">
        <v>359</v>
      </c>
      <c r="D13" s="12" t="s">
        <v>331</v>
      </c>
      <c r="E13" s="14" t="s">
        <v>336</v>
      </c>
      <c r="F13" s="12" t="str">
        <f t="shared" si="0"/>
        <v>Affiliates</v>
      </c>
      <c r="G13" s="12" t="str">
        <f t="shared" si="1"/>
        <v>Should navigate user to 'Affiliates'. A proper text/information should display on this page</v>
      </c>
      <c r="H13" s="12"/>
      <c r="I13" s="12"/>
      <c r="J13" s="12"/>
      <c r="K13" s="12"/>
    </row>
    <row r="14" s="26" customFormat="1" ht="42.75" spans="1:11">
      <c r="A14" s="12" t="s">
        <v>360</v>
      </c>
      <c r="B14" s="13" t="s">
        <v>361</v>
      </c>
      <c r="C14" s="12" t="s">
        <v>362</v>
      </c>
      <c r="D14" s="12" t="s">
        <v>331</v>
      </c>
      <c r="E14" s="14" t="s">
        <v>336</v>
      </c>
      <c r="F14" s="12" t="str">
        <f t="shared" si="0"/>
        <v>Specials</v>
      </c>
      <c r="G14" s="12" t="str">
        <f t="shared" si="1"/>
        <v>Should navigate user to 'Specials'. A proper text/information should display on this page</v>
      </c>
      <c r="H14" s="12"/>
      <c r="I14" s="12"/>
      <c r="J14" s="12"/>
      <c r="K14" s="12"/>
    </row>
    <row r="15" s="26" customFormat="1" ht="42.75" spans="1:11">
      <c r="A15" s="12" t="s">
        <v>363</v>
      </c>
      <c r="B15" s="13" t="s">
        <v>364</v>
      </c>
      <c r="C15" s="12" t="s">
        <v>365</v>
      </c>
      <c r="D15" s="12" t="s">
        <v>331</v>
      </c>
      <c r="E15" s="14" t="s">
        <v>336</v>
      </c>
      <c r="F15" s="12" t="str">
        <f t="shared" si="0"/>
        <v>My Account</v>
      </c>
      <c r="G15" s="12" t="str">
        <f t="shared" si="1"/>
        <v>Should navigate user to 'My Account'. A proper text/information should display on this page</v>
      </c>
      <c r="H15" s="12"/>
      <c r="I15" s="12"/>
      <c r="J15" s="12"/>
      <c r="K15" s="12"/>
    </row>
    <row r="16" s="26" customFormat="1" ht="42.75" spans="1:11">
      <c r="A16" s="12" t="s">
        <v>366</v>
      </c>
      <c r="B16" s="13" t="s">
        <v>367</v>
      </c>
      <c r="C16" s="12" t="s">
        <v>368</v>
      </c>
      <c r="D16" s="12" t="s">
        <v>331</v>
      </c>
      <c r="E16" s="14" t="s">
        <v>336</v>
      </c>
      <c r="F16" s="12" t="str">
        <f t="shared" si="0"/>
        <v>Order History</v>
      </c>
      <c r="G16" s="12" t="str">
        <f t="shared" si="1"/>
        <v>Should navigate user to 'Order History'. A proper text/information should display on this page</v>
      </c>
      <c r="H16" s="12"/>
      <c r="I16" s="12"/>
      <c r="J16" s="12"/>
      <c r="K16" s="12"/>
    </row>
    <row r="17" s="26" customFormat="1" ht="42.75" spans="1:11">
      <c r="A17" s="12" t="s">
        <v>369</v>
      </c>
      <c r="B17" s="13" t="s">
        <v>370</v>
      </c>
      <c r="C17" s="12" t="s">
        <v>371</v>
      </c>
      <c r="D17" s="12" t="s">
        <v>331</v>
      </c>
      <c r="E17" s="14" t="s">
        <v>336</v>
      </c>
      <c r="F17" s="12" t="str">
        <f t="shared" si="0"/>
        <v>Wish List</v>
      </c>
      <c r="G17" s="12" t="str">
        <f t="shared" si="1"/>
        <v>Should navigate user to 'Wish List'. A proper text/information should display on this page</v>
      </c>
      <c r="H17" s="12"/>
      <c r="I17" s="12"/>
      <c r="J17" s="12"/>
      <c r="K17" s="12"/>
    </row>
    <row r="18" s="26" customFormat="1" ht="42.75" spans="1:11">
      <c r="A18" s="12" t="s">
        <v>372</v>
      </c>
      <c r="B18" s="13" t="s">
        <v>373</v>
      </c>
      <c r="C18" s="12" t="s">
        <v>374</v>
      </c>
      <c r="D18" s="12" t="s">
        <v>331</v>
      </c>
      <c r="E18" s="14" t="s">
        <v>336</v>
      </c>
      <c r="F18" s="12" t="str">
        <f t="shared" si="0"/>
        <v>Newletter</v>
      </c>
      <c r="G18" s="12" t="str">
        <f t="shared" si="1"/>
        <v>Should navigate user to 'Newletter'. A proper text/information should display on this page</v>
      </c>
      <c r="H18" s="12"/>
      <c r="I18" s="12"/>
      <c r="J18" s="12"/>
      <c r="K18" s="12"/>
    </row>
    <row r="19" spans="1:11">
      <c r="B19" s="28"/>
    </row>
    <row r="20" spans="1:11">
      <c r="B20" s="28"/>
    </row>
    <row r="21" spans="1:11">
      <c r="B21" s="28"/>
    </row>
    <row r="22" spans="1:11">
      <c r="B22" s="28"/>
    </row>
    <row r="23" spans="1:11">
      <c r="B23" s="28"/>
    </row>
    <row r="24" spans="1:11">
      <c r="B24" s="28"/>
    </row>
    <row r="25" spans="1:11">
      <c r="B25" s="28"/>
    </row>
    <row r="26" spans="1:11">
      <c r="B26" s="28"/>
    </row>
    <row r="27" spans="1:11">
      <c r="B27" s="28"/>
    </row>
    <row r="28" spans="1:11">
      <c r="B28" s="28"/>
    </row>
    <row r="29" spans="1:11">
      <c r="B29" s="28"/>
    </row>
    <row r="30" spans="1:11">
      <c r="B30" s="28"/>
    </row>
    <row r="31" spans="1:11">
      <c r="B31" s="28"/>
    </row>
    <row r="32" spans="1:11">
      <c r="B32" s="28"/>
    </row>
    <row r="33" spans="2:2">
      <c r="B33" s="28"/>
    </row>
    <row r="34" spans="2:2">
      <c r="B34" s="28"/>
    </row>
    <row r="35" spans="2:2">
      <c r="B35" s="28"/>
    </row>
    <row r="36" spans="2:2">
      <c r="B36" s="2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workbookViewId="0">
      <selection activeCell="A2" sqref="A2"/>
    </sheetView>
  </sheetViews>
  <sheetFormatPr defaultColWidth="9" defaultRowHeight="14.25"/>
  <cols>
    <col min="1" max="1" width="13.125" customWidth="1"/>
    <col min="2" max="2" width="28.5" style="1" customWidth="1"/>
    <col min="3" max="3" width="72.125" customWidth="1"/>
    <col min="4" max="4" width="38.0833333333333" customWidth="1"/>
    <col min="5" max="5" width="61.625" style="17" customWidth="1"/>
    <col min="6" max="6" width="28.75" style="18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0" t="s">
        <v>96</v>
      </c>
      <c r="F1" s="10" t="s">
        <v>97</v>
      </c>
      <c r="G1" s="11" t="s">
        <v>98</v>
      </c>
      <c r="H1" s="10" t="s">
        <v>99</v>
      </c>
      <c r="I1" s="10" t="s">
        <v>15</v>
      </c>
      <c r="J1" s="10" t="s">
        <v>100</v>
      </c>
      <c r="K1" s="10" t="s">
        <v>101</v>
      </c>
    </row>
    <row r="2" ht="18" spans="1:11">
      <c r="A2" s="19" t="s">
        <v>93</v>
      </c>
      <c r="B2"/>
      <c r="C2" t="s">
        <v>172</v>
      </c>
      <c r="D2" t="s">
        <v>11</v>
      </c>
      <c r="E2"/>
      <c r="F2"/>
    </row>
    <row r="3" ht="57" spans="1:11">
      <c r="A3" s="12" t="s">
        <v>375</v>
      </c>
      <c r="B3" s="13" t="s">
        <v>376</v>
      </c>
      <c r="C3" s="12" t="s">
        <v>377</v>
      </c>
      <c r="D3" s="14" t="s">
        <v>378</v>
      </c>
      <c r="E3" s="20" t="s">
        <v>379</v>
      </c>
      <c r="F3" s="21" t="s">
        <v>380</v>
      </c>
      <c r="G3" s="14" t="s">
        <v>381</v>
      </c>
      <c r="H3" s="12"/>
      <c r="I3" s="12"/>
      <c r="J3" s="12"/>
      <c r="K3" s="12"/>
    </row>
    <row r="4" ht="57" spans="1:11">
      <c r="A4" s="12" t="s">
        <v>382</v>
      </c>
      <c r="B4" s="13" t="s">
        <v>376</v>
      </c>
      <c r="C4" s="12" t="s">
        <v>383</v>
      </c>
      <c r="D4" s="14" t="s">
        <v>378</v>
      </c>
      <c r="E4" s="20" t="s">
        <v>384</v>
      </c>
      <c r="F4" s="21" t="s">
        <v>380</v>
      </c>
      <c r="G4" s="14" t="s">
        <v>385</v>
      </c>
      <c r="H4" s="12"/>
      <c r="I4" s="12"/>
      <c r="J4" s="12"/>
      <c r="K4" s="12"/>
    </row>
    <row r="5" ht="57" spans="1:11">
      <c r="A5" s="12" t="s">
        <v>386</v>
      </c>
      <c r="B5" s="13" t="s">
        <v>376</v>
      </c>
      <c r="C5" s="12" t="s">
        <v>387</v>
      </c>
      <c r="D5" s="14" t="s">
        <v>378</v>
      </c>
      <c r="E5" s="14" t="s">
        <v>388</v>
      </c>
      <c r="F5" s="21" t="s">
        <v>380</v>
      </c>
      <c r="G5" s="12" t="s">
        <v>389</v>
      </c>
      <c r="H5" s="12"/>
      <c r="I5" s="12"/>
      <c r="J5" s="12"/>
      <c r="K5" s="12"/>
    </row>
    <row r="6" ht="57" spans="1:11">
      <c r="A6" s="12" t="s">
        <v>390</v>
      </c>
      <c r="B6" s="13" t="s">
        <v>376</v>
      </c>
      <c r="C6" s="12" t="s">
        <v>391</v>
      </c>
      <c r="D6" s="14" t="s">
        <v>378</v>
      </c>
      <c r="E6" s="20" t="s">
        <v>392</v>
      </c>
      <c r="F6" s="21" t="s">
        <v>380</v>
      </c>
      <c r="G6" s="14" t="s">
        <v>393</v>
      </c>
      <c r="H6" s="12"/>
      <c r="I6" s="12"/>
      <c r="J6" s="12"/>
      <c r="K6" s="12"/>
    </row>
    <row r="7" ht="57" spans="1:11">
      <c r="A7" s="12" t="s">
        <v>394</v>
      </c>
      <c r="B7" s="13" t="s">
        <v>376</v>
      </c>
      <c r="C7" s="12" t="s">
        <v>395</v>
      </c>
      <c r="D7" s="14" t="s">
        <v>378</v>
      </c>
      <c r="E7" s="14" t="s">
        <v>396</v>
      </c>
      <c r="F7" s="21" t="s">
        <v>397</v>
      </c>
      <c r="G7" s="12" t="s">
        <v>398</v>
      </c>
      <c r="H7" s="12"/>
      <c r="I7" s="12"/>
      <c r="J7" s="12"/>
      <c r="K7" s="12"/>
    </row>
    <row r="8" ht="57" spans="1:11">
      <c r="A8" s="12" t="s">
        <v>399</v>
      </c>
      <c r="B8" s="13" t="s">
        <v>376</v>
      </c>
      <c r="C8" s="12" t="s">
        <v>400</v>
      </c>
      <c r="D8" s="14" t="s">
        <v>378</v>
      </c>
      <c r="E8" s="14" t="s">
        <v>396</v>
      </c>
      <c r="F8" s="22" t="s">
        <v>401</v>
      </c>
      <c r="G8" s="12" t="s">
        <v>402</v>
      </c>
      <c r="H8" s="12"/>
      <c r="I8" s="12"/>
      <c r="J8" s="12"/>
      <c r="K8" s="12"/>
    </row>
    <row r="9" ht="57" spans="1:11">
      <c r="A9" s="12" t="s">
        <v>403</v>
      </c>
      <c r="B9" s="13" t="s">
        <v>376</v>
      </c>
      <c r="C9" s="12" t="s">
        <v>404</v>
      </c>
      <c r="D9" s="14" t="s">
        <v>405</v>
      </c>
      <c r="E9" s="20" t="s">
        <v>406</v>
      </c>
      <c r="F9" s="21" t="s">
        <v>380</v>
      </c>
      <c r="G9" s="14" t="s">
        <v>407</v>
      </c>
      <c r="H9" s="12"/>
      <c r="I9" s="12"/>
      <c r="J9" s="12"/>
      <c r="K9" s="12"/>
    </row>
    <row r="10" ht="57" spans="1:11">
      <c r="A10" s="12" t="s">
        <v>408</v>
      </c>
      <c r="B10" s="13" t="s">
        <v>376</v>
      </c>
      <c r="C10" s="12" t="s">
        <v>409</v>
      </c>
      <c r="D10" s="14" t="s">
        <v>410</v>
      </c>
      <c r="E10" s="20" t="s">
        <v>406</v>
      </c>
      <c r="F10" s="21" t="s">
        <v>380</v>
      </c>
      <c r="G10" s="14" t="s">
        <v>411</v>
      </c>
      <c r="H10" s="12"/>
      <c r="I10" s="12"/>
      <c r="J10" s="12"/>
      <c r="K10" s="12"/>
    </row>
    <row r="11" ht="57" spans="1:11">
      <c r="A11" s="12" t="s">
        <v>412</v>
      </c>
      <c r="B11" s="13" t="s">
        <v>376</v>
      </c>
      <c r="C11" s="12" t="s">
        <v>413</v>
      </c>
      <c r="D11" s="14" t="s">
        <v>378</v>
      </c>
      <c r="E11" s="14" t="s">
        <v>414</v>
      </c>
      <c r="F11" s="21" t="s">
        <v>380</v>
      </c>
      <c r="G11" s="12" t="s">
        <v>415</v>
      </c>
      <c r="H11" s="12"/>
      <c r="I11" s="12"/>
      <c r="J11" s="12"/>
      <c r="K11" s="12"/>
    </row>
    <row r="12" ht="57" spans="1:11">
      <c r="A12" s="12" t="s">
        <v>416</v>
      </c>
      <c r="B12" s="13" t="s">
        <v>376</v>
      </c>
      <c r="C12" s="12" t="s">
        <v>417</v>
      </c>
      <c r="D12" s="14" t="s">
        <v>378</v>
      </c>
      <c r="E12" s="14" t="s">
        <v>418</v>
      </c>
      <c r="F12" s="21" t="s">
        <v>380</v>
      </c>
      <c r="G12" s="12" t="s">
        <v>419</v>
      </c>
      <c r="H12" s="12"/>
      <c r="I12" s="12"/>
      <c r="J12" s="12"/>
      <c r="K12" s="12"/>
    </row>
    <row r="13" ht="57" spans="1:11">
      <c r="A13" s="12" t="s">
        <v>420</v>
      </c>
      <c r="B13" s="13" t="s">
        <v>376</v>
      </c>
      <c r="C13" s="12" t="s">
        <v>421</v>
      </c>
      <c r="D13" s="14" t="s">
        <v>378</v>
      </c>
      <c r="E13" s="14" t="s">
        <v>422</v>
      </c>
      <c r="F13" s="21" t="s">
        <v>380</v>
      </c>
      <c r="G13" s="12" t="s">
        <v>423</v>
      </c>
      <c r="H13" s="12"/>
      <c r="I13" s="12"/>
      <c r="J13" s="12"/>
      <c r="K13" s="12"/>
    </row>
    <row r="14" ht="57" spans="1:11">
      <c r="A14" s="12" t="s">
        <v>424</v>
      </c>
      <c r="B14" s="13" t="s">
        <v>376</v>
      </c>
      <c r="C14" s="12" t="s">
        <v>425</v>
      </c>
      <c r="D14" s="14" t="s">
        <v>378</v>
      </c>
      <c r="E14" s="14" t="s">
        <v>426</v>
      </c>
      <c r="F14" s="21" t="s">
        <v>380</v>
      </c>
      <c r="G14" s="12" t="s">
        <v>427</v>
      </c>
      <c r="H14" s="12"/>
      <c r="I14" s="12"/>
      <c r="J14" s="12"/>
      <c r="K14" s="12"/>
    </row>
    <row r="15" ht="57" spans="1:11">
      <c r="A15" s="12" t="s">
        <v>428</v>
      </c>
      <c r="B15" s="13" t="s">
        <v>376</v>
      </c>
      <c r="C15" s="12" t="s">
        <v>429</v>
      </c>
      <c r="D15" s="14" t="s">
        <v>378</v>
      </c>
      <c r="E15" s="20" t="s">
        <v>430</v>
      </c>
      <c r="F15" s="21" t="s">
        <v>380</v>
      </c>
      <c r="G15" s="12" t="s">
        <v>431</v>
      </c>
      <c r="H15" s="12"/>
      <c r="I15" s="12"/>
      <c r="J15" s="12"/>
      <c r="K15" s="12"/>
    </row>
    <row r="16" ht="57" spans="1:11">
      <c r="A16" s="12" t="s">
        <v>432</v>
      </c>
      <c r="B16" s="13" t="s">
        <v>376</v>
      </c>
      <c r="C16" s="12" t="s">
        <v>433</v>
      </c>
      <c r="D16" s="14" t="s">
        <v>378</v>
      </c>
      <c r="E16" s="14" t="s">
        <v>434</v>
      </c>
      <c r="F16" s="62" t="s">
        <v>435</v>
      </c>
      <c r="G16" s="12" t="s">
        <v>436</v>
      </c>
      <c r="H16" s="12"/>
      <c r="I16" s="12"/>
      <c r="J16" s="12"/>
      <c r="K16" s="12"/>
    </row>
    <row r="17" ht="57" spans="1:11">
      <c r="A17" s="12" t="s">
        <v>437</v>
      </c>
      <c r="B17" s="13" t="s">
        <v>376</v>
      </c>
      <c r="C17" s="12" t="s">
        <v>438</v>
      </c>
      <c r="D17" s="14" t="s">
        <v>378</v>
      </c>
      <c r="E17" s="14" t="s">
        <v>439</v>
      </c>
      <c r="F17" s="21" t="s">
        <v>380</v>
      </c>
      <c r="G17" s="12" t="s">
        <v>440</v>
      </c>
      <c r="H17" s="12"/>
      <c r="I17" s="12"/>
      <c r="J17" s="12"/>
      <c r="K17" s="12"/>
    </row>
    <row r="18" ht="57" spans="1:11">
      <c r="A18" s="12" t="s">
        <v>441</v>
      </c>
      <c r="B18" s="13" t="s">
        <v>376</v>
      </c>
      <c r="C18" s="12" t="s">
        <v>442</v>
      </c>
      <c r="D18" s="14" t="s">
        <v>443</v>
      </c>
      <c r="E18" s="12" t="s">
        <v>444</v>
      </c>
      <c r="F18" s="21" t="s">
        <v>380</v>
      </c>
      <c r="G18" s="12" t="s">
        <v>445</v>
      </c>
      <c r="H18" s="12"/>
      <c r="I18" s="12"/>
      <c r="J18" s="12"/>
      <c r="K18" s="12"/>
    </row>
    <row r="19" ht="57" spans="1:11">
      <c r="A19" s="12" t="s">
        <v>446</v>
      </c>
      <c r="B19" s="13" t="s">
        <v>376</v>
      </c>
      <c r="C19" s="12" t="s">
        <v>447</v>
      </c>
      <c r="D19" s="14" t="s">
        <v>443</v>
      </c>
      <c r="E19" s="12" t="s">
        <v>448</v>
      </c>
      <c r="F19" s="21" t="s">
        <v>380</v>
      </c>
      <c r="G19" s="14" t="s">
        <v>449</v>
      </c>
      <c r="H19" s="12"/>
      <c r="I19" s="12"/>
      <c r="J19" s="12"/>
      <c r="K19" s="12"/>
    </row>
    <row r="20" ht="57" spans="1:11">
      <c r="A20" s="12" t="s">
        <v>450</v>
      </c>
      <c r="B20" s="13" t="s">
        <v>376</v>
      </c>
      <c r="C20" s="12" t="s">
        <v>451</v>
      </c>
      <c r="D20" s="14" t="s">
        <v>443</v>
      </c>
      <c r="E20" s="14" t="s">
        <v>452</v>
      </c>
      <c r="F20" s="12" t="s">
        <v>453</v>
      </c>
      <c r="G20" s="12" t="s">
        <v>454</v>
      </c>
      <c r="H20" s="12"/>
      <c r="I20" s="12"/>
      <c r="J20" s="12"/>
      <c r="K20" s="12"/>
    </row>
    <row r="21" ht="57" spans="1:11">
      <c r="A21" s="12" t="s">
        <v>455</v>
      </c>
      <c r="B21" s="13" t="s">
        <v>376</v>
      </c>
      <c r="C21" s="12" t="s">
        <v>456</v>
      </c>
      <c r="D21" s="14" t="s">
        <v>443</v>
      </c>
      <c r="E21" s="14" t="s">
        <v>457</v>
      </c>
      <c r="F21" s="12" t="s">
        <v>458</v>
      </c>
      <c r="G21" s="12" t="s">
        <v>459</v>
      </c>
      <c r="H21" s="12"/>
      <c r="I21" s="12"/>
      <c r="J21" s="12"/>
      <c r="K21" s="12"/>
    </row>
    <row r="22" ht="57" spans="1:11">
      <c r="A22" s="12" t="s">
        <v>460</v>
      </c>
      <c r="B22" s="13" t="s">
        <v>376</v>
      </c>
      <c r="C22" s="12" t="s">
        <v>461</v>
      </c>
      <c r="D22" s="14" t="s">
        <v>443</v>
      </c>
      <c r="E22" s="14" t="s">
        <v>462</v>
      </c>
      <c r="F22" s="21" t="s">
        <v>380</v>
      </c>
      <c r="G22" s="12" t="s">
        <v>463</v>
      </c>
      <c r="H22" s="12"/>
      <c r="I22" s="12"/>
      <c r="J22" s="12"/>
      <c r="K22" s="12"/>
    </row>
    <row r="23" ht="57" spans="1:11">
      <c r="A23" s="12" t="s">
        <v>464</v>
      </c>
      <c r="B23" s="13" t="s">
        <v>376</v>
      </c>
      <c r="C23" s="12" t="s">
        <v>465</v>
      </c>
      <c r="D23" s="14" t="s">
        <v>443</v>
      </c>
      <c r="E23" s="14" t="s">
        <v>466</v>
      </c>
      <c r="F23" s="12" t="s">
        <v>467</v>
      </c>
      <c r="G23" s="12" t="s">
        <v>468</v>
      </c>
      <c r="H23" s="12"/>
      <c r="I23" s="12"/>
      <c r="J23" s="12"/>
      <c r="K23" s="12"/>
    </row>
    <row r="24" ht="57" spans="1:11">
      <c r="A24" s="12" t="s">
        <v>469</v>
      </c>
      <c r="B24" s="13" t="s">
        <v>376</v>
      </c>
      <c r="C24" s="12" t="s">
        <v>470</v>
      </c>
      <c r="D24" s="14" t="s">
        <v>443</v>
      </c>
      <c r="E24" s="14" t="s">
        <v>471</v>
      </c>
      <c r="F24" s="21" t="s">
        <v>380</v>
      </c>
      <c r="G24" s="12" t="s">
        <v>472</v>
      </c>
      <c r="H24" s="12"/>
      <c r="I24" s="12"/>
      <c r="J24" s="12"/>
      <c r="K24" s="12"/>
    </row>
    <row r="25" ht="57" spans="1:11">
      <c r="A25" s="12" t="s">
        <v>473</v>
      </c>
      <c r="B25" s="13" t="s">
        <v>376</v>
      </c>
      <c r="C25" s="12" t="s">
        <v>474</v>
      </c>
      <c r="D25" s="14" t="s">
        <v>443</v>
      </c>
      <c r="E25" s="14" t="s">
        <v>475</v>
      </c>
      <c r="F25" s="12" t="s">
        <v>476</v>
      </c>
      <c r="G25" s="12" t="s">
        <v>477</v>
      </c>
      <c r="H25" s="12"/>
      <c r="I25" s="12"/>
      <c r="J25" s="12"/>
      <c r="K25" s="12"/>
    </row>
    <row r="26" ht="57" spans="1:11">
      <c r="A26" s="12" t="s">
        <v>478</v>
      </c>
      <c r="B26" s="13" t="s">
        <v>376</v>
      </c>
      <c r="C26" s="12" t="s">
        <v>479</v>
      </c>
      <c r="D26" s="14" t="s">
        <v>443</v>
      </c>
      <c r="E26" s="14" t="s">
        <v>480</v>
      </c>
      <c r="F26" s="21" t="s">
        <v>380</v>
      </c>
      <c r="G26" s="12" t="s">
        <v>481</v>
      </c>
      <c r="H26" s="12"/>
      <c r="I26" s="12"/>
      <c r="J26" s="12"/>
      <c r="K26" s="12"/>
    </row>
    <row r="27" ht="57" spans="1:11">
      <c r="A27" s="12" t="s">
        <v>482</v>
      </c>
      <c r="B27" s="13" t="s">
        <v>376</v>
      </c>
      <c r="C27" s="12" t="s">
        <v>483</v>
      </c>
      <c r="D27" s="14" t="s">
        <v>443</v>
      </c>
      <c r="E27" s="14" t="s">
        <v>484</v>
      </c>
      <c r="F27" s="12" t="s">
        <v>485</v>
      </c>
      <c r="G27" s="12" t="s">
        <v>486</v>
      </c>
      <c r="H27" s="12"/>
      <c r="I27" s="12"/>
      <c r="J27" s="12"/>
      <c r="K27" s="12"/>
    </row>
    <row r="28" ht="57" spans="1:11">
      <c r="A28" s="12" t="s">
        <v>487</v>
      </c>
      <c r="B28" s="13" t="s">
        <v>376</v>
      </c>
      <c r="C28" s="20" t="s">
        <v>488</v>
      </c>
      <c r="D28" s="14" t="s">
        <v>443</v>
      </c>
      <c r="E28" s="14" t="s">
        <v>484</v>
      </c>
      <c r="F28" s="12" t="s">
        <v>489</v>
      </c>
      <c r="G28" s="12" t="s">
        <v>490</v>
      </c>
      <c r="H28" s="12"/>
      <c r="I28" s="12"/>
      <c r="J28" s="12"/>
      <c r="K28" s="12"/>
    </row>
    <row r="29" ht="57" spans="1:11">
      <c r="A29" s="23" t="s">
        <v>491</v>
      </c>
      <c r="B29" s="24" t="s">
        <v>376</v>
      </c>
      <c r="C29" s="23" t="s">
        <v>492</v>
      </c>
      <c r="D29" s="15"/>
      <c r="E29" s="23"/>
      <c r="F29" s="25"/>
      <c r="G29" s="23"/>
      <c r="H29" s="23"/>
      <c r="I29" s="23"/>
      <c r="J29" s="23" t="s">
        <v>493</v>
      </c>
      <c r="K29" s="23" t="s">
        <v>494</v>
      </c>
    </row>
    <row r="30" ht="57" spans="1:11">
      <c r="A30" s="12" t="s">
        <v>495</v>
      </c>
      <c r="B30" s="13" t="s">
        <v>376</v>
      </c>
      <c r="C30" s="12" t="s">
        <v>496</v>
      </c>
      <c r="D30" s="12" t="s">
        <v>497</v>
      </c>
      <c r="E30" s="12" t="s">
        <v>462</v>
      </c>
      <c r="F30" s="21" t="s">
        <v>380</v>
      </c>
      <c r="G30" s="14" t="s">
        <v>498</v>
      </c>
      <c r="H30" s="12"/>
      <c r="I30" s="12"/>
      <c r="J30" s="12"/>
      <c r="K30" s="12"/>
    </row>
    <row r="31" ht="57" spans="1:11">
      <c r="A31" s="12" t="s">
        <v>499</v>
      </c>
      <c r="B31" s="13" t="s">
        <v>376</v>
      </c>
      <c r="C31" s="12" t="s">
        <v>500</v>
      </c>
      <c r="D31" s="12" t="s">
        <v>497</v>
      </c>
      <c r="E31" s="14" t="s">
        <v>501</v>
      </c>
      <c r="F31" s="12" t="s">
        <v>182</v>
      </c>
      <c r="G31" s="14" t="s">
        <v>502</v>
      </c>
      <c r="H31" s="12"/>
      <c r="I31" s="12"/>
      <c r="J31" s="12"/>
      <c r="K31" s="12"/>
    </row>
    <row r="32" ht="57" spans="1:11">
      <c r="A32" s="12" t="s">
        <v>503</v>
      </c>
      <c r="B32" s="13" t="s">
        <v>376</v>
      </c>
      <c r="C32" s="12" t="s">
        <v>504</v>
      </c>
      <c r="D32" s="12" t="s">
        <v>497</v>
      </c>
      <c r="E32" s="14" t="s">
        <v>505</v>
      </c>
      <c r="F32" s="12" t="s">
        <v>506</v>
      </c>
      <c r="G32" s="12" t="s">
        <v>507</v>
      </c>
      <c r="H32" s="12"/>
      <c r="I32" s="12"/>
      <c r="J32" s="12"/>
      <c r="K32" s="12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  <c r="E36"/>
      <c r="F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</sheetData>
  <dataValidations count="2">
    <dataValidation type="list" allowBlank="1" showInputMessage="1" showErrorMessage="1" sqref="D2">
      <formula1>"working,complete"</formula1>
    </dataValidation>
    <dataValidation type="list" allowBlank="1" showInputMessage="1" showErrorMessage="1" sqref="J3:J32">
      <formula1>"Pass,Defect"</formula1>
    </dataValidation>
  </dataValidations>
  <hyperlinks>
    <hyperlink ref="A2" location="Scenario!A13" display="Test Scenario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zoomScale="85" zoomScaleNormal="85" workbookViewId="0">
      <selection activeCell="D2" sqref="D2"/>
    </sheetView>
  </sheetViews>
  <sheetFormatPr defaultColWidth="9" defaultRowHeight="14.25"/>
  <cols>
    <col min="1" max="1" width="13.125" customWidth="1"/>
    <col min="2" max="2" width="52.6" style="1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0" t="s">
        <v>92</v>
      </c>
      <c r="B1" s="10" t="s">
        <v>93</v>
      </c>
      <c r="C1" s="11" t="s">
        <v>94</v>
      </c>
      <c r="D1" s="10" t="s">
        <v>95</v>
      </c>
      <c r="E1" s="10" t="s">
        <v>96</v>
      </c>
      <c r="F1" s="10" t="s">
        <v>97</v>
      </c>
      <c r="G1" s="11" t="s">
        <v>98</v>
      </c>
      <c r="H1" s="10" t="s">
        <v>99</v>
      </c>
      <c r="I1" s="10" t="s">
        <v>15</v>
      </c>
      <c r="J1" s="10" t="s">
        <v>100</v>
      </c>
      <c r="K1" s="10" t="s">
        <v>101</v>
      </c>
    </row>
    <row r="2" spans="1:11">
      <c r="A2" s="12"/>
      <c r="B2" s="13"/>
      <c r="C2" t="s">
        <v>172</v>
      </c>
      <c r="D2" t="s">
        <v>11</v>
      </c>
      <c r="E2" s="14"/>
      <c r="F2" s="12"/>
      <c r="G2" s="12"/>
      <c r="H2" s="12"/>
      <c r="I2" s="12"/>
      <c r="J2" s="12"/>
      <c r="K2" s="12"/>
    </row>
    <row r="3" ht="28.5" spans="1:11">
      <c r="A3" s="12" t="s">
        <v>508</v>
      </c>
      <c r="B3" s="13" t="str">
        <f>"("&amp;Scenario!A16&amp;")"&amp;" 
"&amp;Scenario!C16</f>
        <v>(TS010) 
Validate the working of 'Shopping Cart' functionality</v>
      </c>
      <c r="C3" s="14" t="s">
        <v>509</v>
      </c>
      <c r="D3" s="14" t="s">
        <v>510</v>
      </c>
      <c r="E3" s="14" t="s">
        <v>511</v>
      </c>
      <c r="F3" s="12" t="s">
        <v>380</v>
      </c>
      <c r="G3" s="12" t="s">
        <v>512</v>
      </c>
      <c r="H3" s="12"/>
      <c r="I3" s="12"/>
      <c r="J3" s="12"/>
      <c r="K3" s="12"/>
    </row>
    <row r="4" ht="42.75" spans="1:11">
      <c r="A4" s="12" t="s">
        <v>513</v>
      </c>
      <c r="B4" s="13" t="str">
        <f>"("&amp;Scenario!A16&amp;")"&amp;" 
"&amp;Scenario!C16</f>
        <v>(TS010) 
Validate the working of 'Shopping Cart' functionality</v>
      </c>
      <c r="C4" s="14" t="s">
        <v>514</v>
      </c>
      <c r="D4" s="14" t="s">
        <v>515</v>
      </c>
      <c r="E4" s="12" t="s">
        <v>462</v>
      </c>
      <c r="F4" s="12" t="s">
        <v>380</v>
      </c>
      <c r="G4" s="14" t="s">
        <v>516</v>
      </c>
      <c r="H4" s="12"/>
      <c r="I4" s="12"/>
      <c r="J4" s="12"/>
      <c r="K4" s="12"/>
    </row>
    <row r="5" ht="42.75" spans="1:11">
      <c r="A5" s="12" t="s">
        <v>517</v>
      </c>
      <c r="B5" s="13" t="str">
        <f>"("&amp;Scenario!A16&amp;")"&amp;" 
"&amp;Scenario!C16</f>
        <v>(TS010) 
Validate the working of 'Shopping Cart' functionality</v>
      </c>
      <c r="C5" s="14" t="s">
        <v>518</v>
      </c>
      <c r="D5" s="14" t="s">
        <v>515</v>
      </c>
      <c r="E5" s="14" t="s">
        <v>519</v>
      </c>
      <c r="F5" s="12" t="s">
        <v>397</v>
      </c>
      <c r="G5" s="14" t="s">
        <v>520</v>
      </c>
      <c r="H5" s="12"/>
      <c r="I5" s="12"/>
      <c r="J5" s="12"/>
      <c r="K5" s="12"/>
    </row>
    <row r="6" ht="42.75" spans="1:11">
      <c r="A6" s="12" t="s">
        <v>521</v>
      </c>
      <c r="B6" s="13" t="str">
        <f>"("&amp;Scenario!A16&amp;")"&amp;" 
"&amp;Scenario!C16</f>
        <v>(TS010) 
Validate the working of 'Shopping Cart' functionality</v>
      </c>
      <c r="C6" s="14" t="s">
        <v>522</v>
      </c>
      <c r="D6" s="14" t="s">
        <v>515</v>
      </c>
      <c r="E6" s="14" t="s">
        <v>519</v>
      </c>
      <c r="F6" s="12" t="s">
        <v>523</v>
      </c>
      <c r="G6" s="14" t="s">
        <v>524</v>
      </c>
      <c r="H6" s="12"/>
      <c r="I6" s="12"/>
      <c r="J6" s="12"/>
      <c r="K6" s="12"/>
    </row>
    <row r="7" ht="42.75" spans="1:11">
      <c r="A7" s="12" t="s">
        <v>525</v>
      </c>
      <c r="B7" s="13" t="str">
        <f>"("&amp;Scenario!A16&amp;")"&amp;" 
"&amp;Scenario!C16</f>
        <v>(TS010) 
Validate the working of 'Shopping Cart' functionality</v>
      </c>
      <c r="C7" s="14" t="s">
        <v>526</v>
      </c>
      <c r="D7" s="14" t="s">
        <v>515</v>
      </c>
      <c r="E7" s="14" t="s">
        <v>519</v>
      </c>
      <c r="F7" s="12" t="s">
        <v>527</v>
      </c>
      <c r="G7" s="15" t="s">
        <v>528</v>
      </c>
      <c r="H7" s="12"/>
      <c r="I7" s="12"/>
      <c r="J7" s="12"/>
      <c r="K7" s="12"/>
    </row>
    <row r="8" ht="42.75" spans="1:11">
      <c r="A8" s="12" t="s">
        <v>529</v>
      </c>
      <c r="B8" s="13" t="str">
        <f>"("&amp;Scenario!A16&amp;")"&amp;" 
"&amp;Scenario!C16</f>
        <v>(TS010) 
Validate the working of 'Shopping Cart' functionality</v>
      </c>
      <c r="C8" s="14" t="s">
        <v>530</v>
      </c>
      <c r="D8" s="14" t="s">
        <v>515</v>
      </c>
      <c r="E8" s="14" t="s">
        <v>531</v>
      </c>
      <c r="F8" s="12" t="s">
        <v>380</v>
      </c>
      <c r="G8" s="14" t="s">
        <v>532</v>
      </c>
      <c r="H8" s="12"/>
      <c r="I8" s="12"/>
      <c r="J8" s="12"/>
      <c r="K8" s="12"/>
    </row>
    <row r="9" ht="42.75" spans="1:11">
      <c r="A9" s="12" t="s">
        <v>533</v>
      </c>
      <c r="B9" s="13" t="str">
        <f>"("&amp;Scenario!A16&amp;")"&amp;" 
"&amp;Scenario!C16</f>
        <v>(TS010) 
Validate the working of 'Shopping Cart' functionality</v>
      </c>
      <c r="C9" s="14" t="s">
        <v>534</v>
      </c>
      <c r="D9" s="14" t="s">
        <v>515</v>
      </c>
      <c r="E9" s="12" t="s">
        <v>462</v>
      </c>
      <c r="F9" s="12" t="s">
        <v>380</v>
      </c>
      <c r="G9" s="14" t="s">
        <v>535</v>
      </c>
      <c r="H9" s="12"/>
      <c r="I9" s="12"/>
      <c r="J9" s="12"/>
      <c r="K9" s="12"/>
    </row>
    <row r="10" ht="42.75" spans="1:11">
      <c r="A10" s="12" t="s">
        <v>536</v>
      </c>
      <c r="B10" s="13" t="str">
        <f>"("&amp;Scenario!A16&amp;")"&amp;" 
"&amp;Scenario!C16</f>
        <v>(TS010) 
Validate the working of 'Shopping Cart' functionality</v>
      </c>
      <c r="C10" s="14" t="s">
        <v>537</v>
      </c>
      <c r="D10" s="14" t="s">
        <v>515</v>
      </c>
      <c r="E10" s="12" t="s">
        <v>538</v>
      </c>
      <c r="F10" s="12" t="s">
        <v>380</v>
      </c>
      <c r="G10" s="14" t="s">
        <v>539</v>
      </c>
      <c r="H10" s="12"/>
      <c r="I10" s="12"/>
      <c r="J10" s="12"/>
      <c r="K10" s="12"/>
    </row>
    <row r="11" ht="57" spans="1:11">
      <c r="A11" s="12" t="s">
        <v>540</v>
      </c>
      <c r="B11" s="13" t="str">
        <f>"("&amp;Scenario!A16&amp;")"&amp;" 
"&amp;Scenario!C16</f>
        <v>(TS010) 
Validate the working of 'Shopping Cart' functionality</v>
      </c>
      <c r="C11" s="14" t="s">
        <v>541</v>
      </c>
      <c r="D11" s="14" t="s">
        <v>542</v>
      </c>
      <c r="E11" s="12" t="s">
        <v>538</v>
      </c>
      <c r="F11" s="12" t="s">
        <v>380</v>
      </c>
      <c r="G11" s="14" t="s">
        <v>543</v>
      </c>
      <c r="H11" s="12"/>
      <c r="I11" s="12"/>
      <c r="J11" s="12"/>
      <c r="K11" s="12"/>
    </row>
    <row r="12" ht="57" spans="1:11">
      <c r="A12" s="12" t="s">
        <v>544</v>
      </c>
      <c r="B12" s="13" t="str">
        <f>"("&amp;Scenario!A16&amp;")"&amp;" 
"&amp;Scenario!C16</f>
        <v>(TS010) 
Validate the working of 'Shopping Cart' functionality</v>
      </c>
      <c r="C12" s="14" t="s">
        <v>545</v>
      </c>
      <c r="D12" s="14" t="s">
        <v>542</v>
      </c>
      <c r="E12" s="16" t="s">
        <v>546</v>
      </c>
      <c r="F12" s="12" t="s">
        <v>547</v>
      </c>
      <c r="G12" s="14" t="s">
        <v>548</v>
      </c>
      <c r="H12" s="12"/>
      <c r="I12" s="12"/>
      <c r="J12" s="12"/>
      <c r="K12" s="12"/>
    </row>
    <row r="13" ht="57" spans="1:11">
      <c r="A13" s="12" t="s">
        <v>549</v>
      </c>
      <c r="B13" s="13" t="str">
        <f>"("&amp;Scenario!A16&amp;")"&amp;" 
"&amp;Scenario!C16</f>
        <v>(TS010) 
Validate the working of 'Shopping Cart' functionality</v>
      </c>
      <c r="C13" s="14" t="s">
        <v>550</v>
      </c>
      <c r="D13" s="14" t="s">
        <v>542</v>
      </c>
      <c r="E13" s="16" t="s">
        <v>551</v>
      </c>
      <c r="F13" s="12" t="s">
        <v>552</v>
      </c>
      <c r="G13" s="14" t="s">
        <v>553</v>
      </c>
      <c r="H13" s="12"/>
      <c r="I13" s="12"/>
      <c r="J13" s="12"/>
      <c r="K13" s="12"/>
    </row>
    <row r="14" ht="57" spans="1:11">
      <c r="A14" s="12" t="s">
        <v>554</v>
      </c>
      <c r="B14" s="13" t="str">
        <f>"("&amp;Scenario!A16&amp;")"&amp;" 
"&amp;Scenario!C16</f>
        <v>(TS010) 
Validate the working of 'Shopping Cart' functionality</v>
      </c>
      <c r="C14" s="14" t="s">
        <v>555</v>
      </c>
      <c r="D14" s="14" t="s">
        <v>542</v>
      </c>
      <c r="E14" s="16" t="s">
        <v>551</v>
      </c>
      <c r="F14" s="12" t="s">
        <v>556</v>
      </c>
      <c r="G14" s="14" t="s">
        <v>557</v>
      </c>
      <c r="H14" s="12"/>
      <c r="I14" s="12"/>
      <c r="J14" s="12"/>
      <c r="K14" s="12"/>
    </row>
    <row r="15" ht="57" spans="1:11">
      <c r="A15" s="12" t="s">
        <v>558</v>
      </c>
      <c r="B15" s="13" t="str">
        <f>"("&amp;Scenario!A17&amp;")"&amp;" 
"&amp;Scenario!C17</f>
        <v>(TS011) 
Validate the working of 'Shopping Cart page' functionality</v>
      </c>
      <c r="C15" s="14" t="s">
        <v>559</v>
      </c>
      <c r="D15" s="14" t="s">
        <v>542</v>
      </c>
      <c r="E15" s="16" t="s">
        <v>551</v>
      </c>
      <c r="F15" s="12" t="s">
        <v>560</v>
      </c>
      <c r="G15" s="14" t="s">
        <v>561</v>
      </c>
      <c r="H15" s="12"/>
      <c r="I15" s="12"/>
      <c r="J15" s="12"/>
      <c r="K15" s="12"/>
    </row>
    <row r="16" ht="42.75" spans="1:11">
      <c r="A16" s="12" t="s">
        <v>562</v>
      </c>
      <c r="B16" s="13" t="str">
        <f>"("&amp;Scenario!A16&amp;")"&amp;" 
"&amp;Scenario!C16</f>
        <v>(TS010) 
Validate the working of 'Shopping Cart' functionality</v>
      </c>
      <c r="C16" s="14" t="s">
        <v>563</v>
      </c>
      <c r="D16" s="14" t="s">
        <v>515</v>
      </c>
      <c r="E16" s="16" t="s">
        <v>564</v>
      </c>
      <c r="F16" s="12" t="s">
        <v>380</v>
      </c>
      <c r="G16" s="14" t="s">
        <v>565</v>
      </c>
      <c r="H16" s="12"/>
      <c r="I16" s="12"/>
      <c r="J16" s="12"/>
      <c r="K16" s="12"/>
    </row>
    <row r="17" ht="57" spans="1:11">
      <c r="A17" s="12" t="s">
        <v>566</v>
      </c>
      <c r="B17" s="13" t="str">
        <f>"("&amp;Scenario!A16&amp;")"&amp;" 
"&amp;Scenario!C16</f>
        <v>(TS010) 
Validate the working of 'Shopping Cart' functionality</v>
      </c>
      <c r="C17" s="14" t="s">
        <v>567</v>
      </c>
      <c r="D17" s="14" t="s">
        <v>568</v>
      </c>
      <c r="E17" s="16" t="s">
        <v>564</v>
      </c>
      <c r="F17" s="12" t="s">
        <v>380</v>
      </c>
      <c r="G17" s="14" t="s">
        <v>569</v>
      </c>
      <c r="H17" s="12"/>
      <c r="I17" s="12"/>
      <c r="J17" s="12"/>
      <c r="K17" s="12"/>
    </row>
    <row r="18" ht="57" spans="1:11">
      <c r="A18" s="12" t="s">
        <v>570</v>
      </c>
      <c r="B18" s="13" t="s">
        <v>571</v>
      </c>
      <c r="C18" s="14" t="s">
        <v>572</v>
      </c>
      <c r="D18" s="14" t="s">
        <v>568</v>
      </c>
      <c r="E18" s="12" t="s">
        <v>462</v>
      </c>
      <c r="F18" s="12" t="s">
        <v>380</v>
      </c>
      <c r="G18" s="14" t="s">
        <v>573</v>
      </c>
      <c r="H18" s="12"/>
      <c r="I18" s="12"/>
      <c r="J18" s="12"/>
      <c r="K18" s="12"/>
    </row>
    <row r="19" ht="57" spans="1:11">
      <c r="A19" s="12" t="s">
        <v>574</v>
      </c>
      <c r="B19" s="13" t="s">
        <v>571</v>
      </c>
      <c r="C19" s="14" t="s">
        <v>575</v>
      </c>
      <c r="D19" s="14" t="s">
        <v>568</v>
      </c>
      <c r="E19" s="16" t="s">
        <v>576</v>
      </c>
      <c r="F19" s="12" t="s">
        <v>577</v>
      </c>
      <c r="G19" s="14" t="s">
        <v>578</v>
      </c>
      <c r="H19" s="12"/>
      <c r="I19" s="12"/>
      <c r="J19" s="12"/>
      <c r="K19" s="12"/>
    </row>
    <row r="20" ht="57" spans="1:11">
      <c r="A20" s="12" t="s">
        <v>579</v>
      </c>
      <c r="B20" s="13" t="s">
        <v>571</v>
      </c>
      <c r="C20" s="14" t="s">
        <v>580</v>
      </c>
      <c r="D20" s="14" t="s">
        <v>568</v>
      </c>
      <c r="E20" s="16" t="s">
        <v>581</v>
      </c>
      <c r="F20" s="12" t="s">
        <v>582</v>
      </c>
      <c r="G20" s="14" t="s">
        <v>583</v>
      </c>
      <c r="H20" s="12"/>
      <c r="I20" s="12"/>
      <c r="J20" s="12"/>
      <c r="K20" s="12"/>
    </row>
    <row r="21" ht="57" spans="1:11">
      <c r="A21" s="12" t="s">
        <v>584</v>
      </c>
      <c r="B21" s="13" t="s">
        <v>571</v>
      </c>
      <c r="C21" s="14" t="s">
        <v>585</v>
      </c>
      <c r="D21" s="14" t="s">
        <v>568</v>
      </c>
      <c r="E21" s="12" t="s">
        <v>586</v>
      </c>
      <c r="F21" s="12" t="s">
        <v>380</v>
      </c>
      <c r="G21" s="14" t="s">
        <v>587</v>
      </c>
      <c r="H21" s="12"/>
      <c r="I21" s="12"/>
      <c r="J21" s="12"/>
      <c r="K21" s="12"/>
    </row>
    <row r="22" ht="57" spans="1:11">
      <c r="A22" s="12" t="s">
        <v>588</v>
      </c>
      <c r="B22" s="13" t="s">
        <v>571</v>
      </c>
      <c r="C22" s="14" t="s">
        <v>589</v>
      </c>
      <c r="D22" s="14" t="s">
        <v>568</v>
      </c>
      <c r="E22" s="16" t="s">
        <v>590</v>
      </c>
      <c r="F22" s="12" t="s">
        <v>591</v>
      </c>
      <c r="G22" s="14" t="s">
        <v>592</v>
      </c>
      <c r="H22" s="12"/>
      <c r="I22" s="12"/>
      <c r="J22" s="12"/>
      <c r="K22" s="12"/>
    </row>
    <row r="23" ht="71.25" spans="1:11">
      <c r="A23" s="12" t="s">
        <v>593</v>
      </c>
      <c r="B23" s="13" t="s">
        <v>571</v>
      </c>
      <c r="C23" s="14" t="s">
        <v>594</v>
      </c>
      <c r="D23" s="14" t="s">
        <v>595</v>
      </c>
      <c r="E23" s="16" t="s">
        <v>596</v>
      </c>
      <c r="F23" s="16" t="s">
        <v>597</v>
      </c>
      <c r="G23" s="14" t="s">
        <v>598</v>
      </c>
      <c r="H23" s="12"/>
      <c r="I23" s="12"/>
      <c r="J23" s="12"/>
      <c r="K23" s="12"/>
    </row>
    <row r="24" ht="71.25" spans="1:11">
      <c r="A24" s="12" t="s">
        <v>599</v>
      </c>
      <c r="B24" s="13" t="s">
        <v>571</v>
      </c>
      <c r="C24" s="14" t="s">
        <v>600</v>
      </c>
      <c r="D24" s="14" t="s">
        <v>595</v>
      </c>
      <c r="E24" s="16" t="s">
        <v>601</v>
      </c>
      <c r="F24" s="16" t="s">
        <v>602</v>
      </c>
      <c r="G24" s="14" t="s">
        <v>603</v>
      </c>
      <c r="H24" s="12"/>
      <c r="I24" s="12"/>
      <c r="J24" s="12"/>
      <c r="K24" s="12"/>
    </row>
    <row r="25" ht="57" spans="1:11">
      <c r="A25" s="12" t="s">
        <v>604</v>
      </c>
      <c r="B25" s="13" t="s">
        <v>571</v>
      </c>
      <c r="C25" s="14" t="s">
        <v>605</v>
      </c>
      <c r="D25" s="14" t="s">
        <v>568</v>
      </c>
      <c r="E25" s="16" t="s">
        <v>606</v>
      </c>
      <c r="F25" s="12" t="s">
        <v>607</v>
      </c>
      <c r="G25" s="14" t="s">
        <v>608</v>
      </c>
      <c r="H25" s="12"/>
      <c r="I25" s="12"/>
      <c r="J25" s="12"/>
      <c r="K25" s="12"/>
    </row>
    <row r="26" ht="57" spans="1:11">
      <c r="A26" s="12" t="s">
        <v>609</v>
      </c>
      <c r="B26" s="13" t="s">
        <v>571</v>
      </c>
      <c r="C26" s="14" t="s">
        <v>610</v>
      </c>
      <c r="D26" s="14" t="s">
        <v>568</v>
      </c>
      <c r="E26" s="16" t="s">
        <v>606</v>
      </c>
      <c r="F26" s="12" t="s">
        <v>611</v>
      </c>
      <c r="G26" s="14" t="s">
        <v>612</v>
      </c>
      <c r="H26" s="12"/>
      <c r="I26" s="12"/>
      <c r="J26" s="12"/>
      <c r="K26" s="12"/>
    </row>
    <row r="27" ht="57" spans="1:11">
      <c r="A27" s="12" t="s">
        <v>613</v>
      </c>
      <c r="B27" s="13" t="s">
        <v>571</v>
      </c>
      <c r="C27" s="14" t="s">
        <v>614</v>
      </c>
      <c r="D27" s="14" t="s">
        <v>568</v>
      </c>
      <c r="E27" s="16" t="s">
        <v>606</v>
      </c>
      <c r="F27" s="12" t="s">
        <v>615</v>
      </c>
      <c r="G27" s="14" t="s">
        <v>612</v>
      </c>
      <c r="H27" s="12"/>
      <c r="I27" s="12"/>
      <c r="J27" s="12"/>
      <c r="K27" s="12"/>
    </row>
    <row r="28" ht="57" spans="1:11">
      <c r="A28" s="12" t="s">
        <v>616</v>
      </c>
      <c r="B28" s="13" t="s">
        <v>571</v>
      </c>
      <c r="C28" s="14" t="s">
        <v>617</v>
      </c>
      <c r="D28" s="14" t="s">
        <v>568</v>
      </c>
      <c r="E28" s="16" t="s">
        <v>618</v>
      </c>
      <c r="F28" s="16" t="s">
        <v>619</v>
      </c>
      <c r="G28" s="14" t="s">
        <v>620</v>
      </c>
      <c r="H28" s="12"/>
      <c r="I28" s="12"/>
      <c r="J28" s="12"/>
      <c r="K28" s="12"/>
    </row>
    <row r="29" ht="71.25" spans="1:11">
      <c r="A29" s="12" t="s">
        <v>621</v>
      </c>
      <c r="B29" s="13" t="s">
        <v>571</v>
      </c>
      <c r="C29" s="14" t="s">
        <v>622</v>
      </c>
      <c r="D29" s="14" t="s">
        <v>623</v>
      </c>
      <c r="E29" s="16" t="s">
        <v>624</v>
      </c>
      <c r="F29" s="12" t="s">
        <v>625</v>
      </c>
      <c r="G29" s="14" t="s">
        <v>626</v>
      </c>
      <c r="H29" s="12"/>
      <c r="I29" s="12"/>
      <c r="J29" s="12"/>
      <c r="K29" s="12"/>
    </row>
    <row r="30" ht="42.75" spans="1:11">
      <c r="A30" s="12" t="s">
        <v>627</v>
      </c>
      <c r="B30" s="13" t="str">
        <f>"("&amp;Scenario!A16&amp;")"&amp;" 
"&amp;Scenario!C16</f>
        <v>(TS010) 
Validate the working of 'Shopping Cart' functionality</v>
      </c>
      <c r="C30" s="14" t="s">
        <v>628</v>
      </c>
      <c r="D30" s="14" t="s">
        <v>515</v>
      </c>
      <c r="E30" s="16" t="s">
        <v>629</v>
      </c>
      <c r="F30" s="12" t="s">
        <v>380</v>
      </c>
      <c r="G30" s="14" t="s">
        <v>630</v>
      </c>
      <c r="H30" s="12"/>
      <c r="I30" s="12"/>
      <c r="J30" s="12"/>
      <c r="K30" s="12"/>
    </row>
    <row r="31" ht="57" spans="1:11">
      <c r="A31" s="12" t="s">
        <v>631</v>
      </c>
      <c r="B31" s="13" t="str">
        <f>"("&amp;Scenario!A16&amp;")"&amp;" 
"&amp;Scenario!C16</f>
        <v>(TS010) 
Validate the working of 'Shopping Cart' functionality</v>
      </c>
      <c r="C31" s="14" t="s">
        <v>632</v>
      </c>
      <c r="D31" s="14" t="s">
        <v>633</v>
      </c>
      <c r="E31" s="16" t="s">
        <v>629</v>
      </c>
      <c r="F31" s="12" t="s">
        <v>380</v>
      </c>
      <c r="G31" s="14" t="s">
        <v>634</v>
      </c>
      <c r="H31" s="12"/>
      <c r="I31" s="12"/>
      <c r="J31" s="12"/>
      <c r="K31" s="12"/>
    </row>
    <row r="32" ht="57" spans="1:11">
      <c r="A32" s="12" t="s">
        <v>635</v>
      </c>
      <c r="B32" s="13" t="str">
        <f>"("&amp;Scenario!A16&amp;")"&amp;" 
"&amp;Scenario!C16</f>
        <v>(TS010) 
Validate the working of 'Shopping Cart' functionality</v>
      </c>
      <c r="C32" s="14" t="s">
        <v>636</v>
      </c>
      <c r="D32" s="14" t="s">
        <v>633</v>
      </c>
      <c r="E32" s="16" t="s">
        <v>637</v>
      </c>
      <c r="F32" s="12" t="s">
        <v>638</v>
      </c>
      <c r="G32" s="14" t="s">
        <v>639</v>
      </c>
      <c r="H32" s="12"/>
      <c r="I32" s="12"/>
      <c r="J32" s="12"/>
      <c r="K32" s="12"/>
    </row>
    <row r="33" ht="57" spans="1:11">
      <c r="A33" s="12" t="s">
        <v>640</v>
      </c>
      <c r="B33" s="13" t="str">
        <f>"("&amp;Scenario!A16&amp;")"&amp;" 
"&amp;Scenario!C16</f>
        <v>(TS010) 
Validate the working of 'Shopping Cart' functionality</v>
      </c>
      <c r="C33" s="14" t="s">
        <v>641</v>
      </c>
      <c r="D33" s="14" t="s">
        <v>633</v>
      </c>
      <c r="E33" s="16" t="s">
        <v>637</v>
      </c>
      <c r="F33" s="12" t="s">
        <v>642</v>
      </c>
      <c r="G33" s="14" t="s">
        <v>643</v>
      </c>
      <c r="H33" s="12"/>
      <c r="I33" s="12"/>
      <c r="J33" s="12"/>
      <c r="K33" s="12"/>
    </row>
    <row r="34" ht="42.75" spans="1:11">
      <c r="A34" s="12" t="s">
        <v>644</v>
      </c>
      <c r="B34" s="13" t="str">
        <f>"("&amp;Scenario!A16&amp;")"&amp;" 
"&amp;Scenario!C16</f>
        <v>(TS010) 
Validate the working of 'Shopping Cart' functionality</v>
      </c>
      <c r="C34" s="14" t="s">
        <v>645</v>
      </c>
      <c r="D34" s="14" t="s">
        <v>515</v>
      </c>
      <c r="E34" s="12" t="s">
        <v>462</v>
      </c>
      <c r="F34" s="12" t="s">
        <v>380</v>
      </c>
      <c r="G34" s="14" t="s">
        <v>646</v>
      </c>
      <c r="H34" s="12"/>
      <c r="I34" s="12"/>
      <c r="J34" s="12"/>
      <c r="K34" s="12"/>
    </row>
    <row r="35" ht="42.75" spans="1:11">
      <c r="A35" s="12" t="s">
        <v>647</v>
      </c>
      <c r="B35" s="13" t="str">
        <f>"("&amp;Scenario!A16&amp;")"&amp;" 
"&amp;Scenario!C16</f>
        <v>(TS010) 
Validate the working of 'Shopping Cart' functionality</v>
      </c>
      <c r="C35" s="14" t="s">
        <v>648</v>
      </c>
      <c r="D35" s="14" t="s">
        <v>515</v>
      </c>
      <c r="E35" s="12" t="s">
        <v>462</v>
      </c>
      <c r="F35" s="12" t="s">
        <v>380</v>
      </c>
      <c r="G35" s="12" t="s">
        <v>649</v>
      </c>
      <c r="H35" s="12"/>
      <c r="I35" s="12"/>
      <c r="J35" s="12"/>
      <c r="K35" s="12"/>
    </row>
    <row r="36" ht="42.75" spans="1:11">
      <c r="A36" s="12" t="s">
        <v>650</v>
      </c>
      <c r="B36" s="13" t="str">
        <f>"("&amp;Scenario!A16&amp;")"&amp;" 
"&amp;Scenario!C16</f>
        <v>(TS010) 
Validate the working of 'Shopping Cart' functionality</v>
      </c>
      <c r="C36" s="14" t="s">
        <v>651</v>
      </c>
      <c r="D36" s="14" t="s">
        <v>515</v>
      </c>
      <c r="E36" s="16" t="s">
        <v>652</v>
      </c>
      <c r="F36" s="12" t="s">
        <v>380</v>
      </c>
      <c r="G36" s="12" t="s">
        <v>653</v>
      </c>
      <c r="H36" s="12"/>
      <c r="I36" s="12"/>
      <c r="J36" s="12"/>
      <c r="K36" s="12"/>
    </row>
    <row r="37" ht="42.75" spans="1:11">
      <c r="A37" s="12" t="s">
        <v>654</v>
      </c>
      <c r="B37" s="13" t="str">
        <f>"("&amp;Scenario!A16&amp;")"&amp;" 
"&amp;Scenario!C16</f>
        <v>(TS010) 
Validate the working of 'Shopping Cart' functionality</v>
      </c>
      <c r="C37" s="14" t="s">
        <v>655</v>
      </c>
      <c r="D37" s="14" t="s">
        <v>515</v>
      </c>
      <c r="E37" s="16" t="s">
        <v>656</v>
      </c>
      <c r="F37" s="12" t="s">
        <v>380</v>
      </c>
      <c r="G37" s="12" t="s">
        <v>657</v>
      </c>
      <c r="H37" s="12"/>
      <c r="I37" s="12"/>
      <c r="J37" s="12"/>
      <c r="K37" s="12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E16" sqref="E16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92</v>
      </c>
      <c r="B1" s="4" t="s">
        <v>93</v>
      </c>
      <c r="C1" s="4" t="s">
        <v>94</v>
      </c>
      <c r="D1" s="4" t="s">
        <v>95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15</v>
      </c>
      <c r="J1" s="4" t="s">
        <v>100</v>
      </c>
      <c r="K1" s="4" t="s">
        <v>101</v>
      </c>
    </row>
    <row r="2" s="2" customFormat="1" spans="1:11">
      <c r="A2" s="2" t="s">
        <v>171</v>
      </c>
      <c r="B2" s="5"/>
      <c r="C2" s="6"/>
      <c r="D2" s="6"/>
      <c r="E2" s="6"/>
    </row>
    <row r="3" ht="42.75" spans="1:11">
      <c r="A3" t="s">
        <v>658</v>
      </c>
      <c r="B3" s="7" t="s">
        <v>659</v>
      </c>
      <c r="C3" s="3" t="s">
        <v>660</v>
      </c>
      <c r="D3" s="3" t="s">
        <v>661</v>
      </c>
      <c r="E3" s="8" t="s">
        <v>662</v>
      </c>
      <c r="F3" s="9" t="s">
        <v>663</v>
      </c>
      <c r="G3" t="s">
        <v>664</v>
      </c>
    </row>
    <row r="4" ht="42.75" spans="1:11">
      <c r="A4" t="s">
        <v>665</v>
      </c>
      <c r="B4" s="7" t="s">
        <v>659</v>
      </c>
      <c r="C4" s="3" t="s">
        <v>666</v>
      </c>
      <c r="D4" s="3" t="s">
        <v>661</v>
      </c>
      <c r="E4" s="8" t="s">
        <v>667</v>
      </c>
      <c r="F4" s="1" t="s">
        <v>177</v>
      </c>
      <c r="G4" t="s">
        <v>668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Version</vt:lpstr>
      <vt:lpstr>Scenario</vt:lpstr>
      <vt:lpstr>UserAccountAccess&amp;Validation</vt:lpstr>
      <vt:lpstr>Userfeature</vt:lpstr>
      <vt:lpstr>HomePage</vt:lpstr>
      <vt:lpstr>Top Menu</vt:lpstr>
      <vt:lpstr>Header</vt:lpstr>
      <vt:lpstr>Footer</vt:lpstr>
      <vt:lpstr>Product Pages</vt:lpstr>
      <vt:lpstr>Shopping Cart page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2026-04-15T13:32:31Z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